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c40db6e50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1fc9b62eee4f41"/>
    <x:sheet xmlns:r="http://schemas.openxmlformats.org/officeDocument/2006/relationships" name="추천_테스트" sheetId="2" r:id="Rf02692327ed74b34"/>
    <x:sheet xmlns:r="http://schemas.openxmlformats.org/officeDocument/2006/relationships" name="정시입결_2025" sheetId="3" r:id="R63bd76aa95c94f4a"/>
    <x:sheet xmlns:r="http://schemas.openxmlformats.org/officeDocument/2006/relationships" name="대학별_요약" sheetId="4" r:id="R502dfd55f3aa4ed2"/>
    <x:sheet xmlns:r="http://schemas.openxmlformats.org/officeDocument/2006/relationships" name="출처_수록현황" sheetId="5" r:id="R1c3a56bbb4e443cf"/>
    <x:sheet xmlns:r="http://schemas.openxmlformats.org/officeDocument/2006/relationships" name="데이터사전" sheetId="6" r:id="R3a0005b9ca6a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1"/>
      <x:color rgb="FF7F6000"/>
      <x:name val="Carlito"/>
    </x:font>
    <x:font>
      <x:b/>
      <x:sz val="11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DF2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073763"/>
      </x:font>
      <x:fill>
        <x:patternFill patternType="solid">
          <x:bgColor rgb="FFCFE2F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dd70aa50943d8" /><Relationship Type="http://schemas.openxmlformats.org/officeDocument/2006/relationships/theme" Target="/xl/theme/theme1.xml" Id="Rd49fd1b896d74356" /><Relationship Type="http://schemas.openxmlformats.org/officeDocument/2006/relationships/sharedStrings" Target="/xl/sharedStrings.xml" Id="Rcefde8e7f2b043f4" /><Relationship Type="http://schemas.openxmlformats.org/officeDocument/2006/relationships/worksheet" Target="/xl/worksheets/sheet1.xml" Id="R0e1fc9b62eee4f41" /><Relationship Type="http://schemas.openxmlformats.org/officeDocument/2006/relationships/worksheet" Target="/xl/worksheets/sheet2.xml" Id="Rf02692327ed74b34" /><Relationship Type="http://schemas.openxmlformats.org/officeDocument/2006/relationships/worksheet" Target="/xl/worksheets/sheet3.xml" Id="R63bd76aa95c94f4a" /><Relationship Type="http://schemas.openxmlformats.org/officeDocument/2006/relationships/worksheet" Target="/xl/worksheets/sheet4.xml" Id="R502dfd55f3aa4ed2" /><Relationship Type="http://schemas.openxmlformats.org/officeDocument/2006/relationships/worksheet" Target="/xl/worksheets/sheet5.xml" Id="R1c3a56bbb4e443cf" /><Relationship Type="http://schemas.openxmlformats.org/officeDocument/2006/relationships/worksheet" Target="/xl/worksheets/sheet6.xml" Id="R3a0005b9ca6a4c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5f6587078644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대학별 추천기준 평균(참고)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지역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설립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'대학별_요약'!$C$4:$C$13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수록 모집단위 수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'대학별_요약'!$D$4:$D$13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추천기준 평균</c:v>
          </c:tx>
          <c:cat>
            <c:strRef>
              <c:f>'대학별_요약'!$A$4:$A$13</c:f>
              <c:strCache>
                <c:ptCount val="0"/>
              </c:strCache>
            </c:strRef>
          </c:cat>
          <c:val>
            <c:numRef>
              <c:f>'대학별_요약'!$E$4:$E$13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5f6587078644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missions2025Table" displayName="Admissions2025Table" ref="A1:AG122" headerRowCount="1" totalsRowCount="0" totalsRowShown="0">
  <x:tableColumns count="33">
    <x:tableColumn id="1" name="학년도"/>
    <x:tableColumn id="2" name="지역"/>
    <x:tableColumn id="3" name="설립"/>
    <x:tableColumn id="4" name="대학명"/>
    <x:tableColumn id="5" name="모집군"/>
    <x:tableColumn id="6" name="전형명"/>
    <x:tableColumn id="7" name="모집단위"/>
    <x:tableColumn id="8" name="최초모집"/>
    <x:tableColumn id="9" name="이월"/>
    <x:tableColumn id="10" name="최종모집"/>
    <x:tableColumn id="11" name="경쟁률"/>
    <x:tableColumn id="12" name="충원합격순위"/>
    <x:tableColumn id="13" name="환산50"/>
    <x:tableColumn id="14" name="환산70"/>
    <x:tableColumn id="15" name="수능총점"/>
    <x:tableColumn id="16" name="국어70"/>
    <x:tableColumn id="17" name="수학70"/>
    <x:tableColumn id="18" name="탐구1_70"/>
    <x:tableColumn id="19" name="탐구2_70"/>
    <x:tableColumn id="20" name="영어70_등급"/>
    <x:tableColumn id="21" name="한국사70_등급"/>
    <x:tableColumn id="22" name="공식70평균백분위"/>
    <x:tableColumn id="23" name="파생_국수탐70단순평균"/>
    <x:tableColumn id="24" name="추천기준_백분위"/>
    <x:tableColumn id="25" name="추천지표유형"/>
    <x:tableColumn id="26" name="학생평균백분위"/>
    <x:tableColumn id="27" name="점수차"/>
    <x:tableColumn id="28" name="추천구간"/>
    <x:tableColumn id="29" name="확통비율"/>
    <x:tableColumn id="30" name="미적분비율"/>
    <x:tableColumn id="31" name="기하비율"/>
    <x:tableColumn id="32" name="비고"/>
    <x:tableColumn id="33" name="출처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versitySummaryTable" displayName="UniversitySummaryTable" ref="A3:H13" headerRowCount="1" totalsRowCount="0" totalsRowShown="0">
  <x:tableColumns count="8">
    <x:tableColumn id="1" name="대학명"/>
    <x:tableColumn id="2" name="지역"/>
    <x:tableColumn id="3" name="설립"/>
    <x:tableColumn id="4" name="수록 모집단위 수"/>
    <x:tableColumn id="5" name="추천기준 평균"/>
    <x:tableColumn id="6" name="공식 평균백분위 행 수"/>
    <x:tableColumn id="7" name="파생 평균 행 수"/>
    <x:tableColumn id="8" name="대표 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3:D36" headerRowCount="1" totalsRowCount="0" totalsRowShown="0">
  <x:tableColumns count="4">
    <x:tableColumn id="1" name="컬럼명"/>
    <x:tableColumn id="2" name="구분"/>
    <x:tableColumn id="3" name="설명"/>
    <x:tableColumn id="4" name="추천 프로젝트 사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2a7b7acef064d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fd113e457ab4d81" /><Relationship Type="http://schemas.openxmlformats.org/officeDocument/2006/relationships/table" Target="/xl/tables/table2.xml" Id="Rd63f247e36f84e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994e243c203f4f6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</x:cols>
  <x:sheetData>
    <x:row r="1" ht="30" customHeight="1">
      <x:c r="A1" s="5" t="str">
        <x:v>전국대학 정시 입결 공식 통합 데이터 v1</x:v>
      </x:c>
      <x:c r="B1" s="5"/>
      <x:c r="C1" s="5"/>
      <x:c r="D1" s="5"/>
      <x:c r="E1" s="5"/>
      <x:c r="F1" s="5"/>
      <x:c r="G1" s="5"/>
    </x:row>
    <x:row r="2">
      <x:c r="A2" s="40"/>
      <x:c r="B2" s="40"/>
      <x:c r="C2" s="40"/>
      <x:c r="D2" s="40"/>
      <x:c r="E2" s="40"/>
      <x:c r="F2" s="40"/>
      <x:c r="G2" s="40"/>
    </x:row>
    <x:row r="3">
      <x:c r="A3" s="13" t="str">
        <x:v>파일 목적</x:v>
      </x:c>
      <x:c r="B3" s="13"/>
      <x:c r="C3" s="13"/>
      <x:c r="D3" s="13"/>
      <x:c r="E3" s="13"/>
      <x:c r="F3" s="13"/>
      <x:c r="G3" s="13"/>
    </x:row>
    <x:row r="4">
      <x:c r="A4" s="23" t="str">
        <x:v>항목</x:v>
      </x:c>
      <x:c r="B4" s="23" t="str">
        <x:v>내용</x:v>
      </x:c>
      <x:c r="C4" s="40"/>
      <x:c r="D4" s="40"/>
      <x:c r="E4" s="40"/>
      <x:c r="F4" s="40"/>
      <x:c r="G4" s="40"/>
    </x:row>
    <x:row r="5">
      <x:c r="A5" s="41" t="str">
        <x:v>메인 데이터</x:v>
      </x:c>
      <x:c r="B5" s="41" t="str">
        <x:v>2025학년도 정시 공식 전형결과를 공통 컬럼으로 정규화</x:v>
      </x:c>
      <x:c r="C5" s="40"/>
      <x:c r="D5" s="40"/>
      <x:c r="E5" s="40"/>
      <x:c r="F5" s="40"/>
      <x:c r="G5" s="40"/>
    </x:row>
    <x:row r="6">
      <x:c r="A6" s="41" t="str">
        <x:v>현재 수록 범위</x:v>
      </x:c>
      <x:c r="B6" s="41" t="str">
        <x:v>10개 대학 / 121개 모집단위 / 9개 시·도</x:v>
      </x:c>
      <x:c r="C6" s="40"/>
      <x:c r="D6" s="40"/>
      <x:c r="E6" s="40"/>
      <x:c r="F6" s="40"/>
      <x:c r="G6" s="40"/>
    </x:row>
    <x:row r="7">
      <x:c r="A7" s="41" t="str">
        <x:v>추천 프로젝트용 기준</x:v>
      </x:c>
      <x:c r="B7" s="41" t="str">
        <x:v>공식 70% cut 평균백분위가 있으면 우선 사용, 없으면 국어·수학·탐구1·탐구2 70% 백분위의 단순평균을 참고값으로 계산</x:v>
      </x:c>
      <x:c r="C7" s="40"/>
      <x:c r="D7" s="40"/>
      <x:c r="E7" s="40"/>
      <x:c r="F7" s="40"/>
      <x:c r="G7" s="40"/>
    </x:row>
    <x:row r="8">
      <x:c r="A8" s="41" t="str">
        <x:v>2026학년도 최신 자료</x:v>
      </x:c>
      <x:c r="B8" s="41" t="str">
        <x:v>대학별 공식 XLSX가 분산 공개되어 있어 별도 '출처_수록현황' 시트에 확인된 원본 링크를 수록. 메인 2025 데이터와 혼용하지 않음.</x:v>
      </x:c>
      <x:c r="C8" s="40"/>
      <x:c r="D8" s="40"/>
      <x:c r="E8" s="40"/>
      <x:c r="F8" s="40"/>
      <x:c r="G8" s="40"/>
    </x:row>
    <x:row r="9">
      <x:c r="A9" s="40"/>
      <x:c r="B9" s="40"/>
      <x:c r="C9" s="40"/>
      <x:c r="D9" s="40"/>
      <x:c r="E9" s="40"/>
      <x:c r="F9" s="40"/>
      <x:c r="G9" s="40"/>
    </x:row>
    <x:row r="10">
      <x:c r="A10" s="13" t="str">
        <x:v>중요한 해석 주의사항</x:v>
      </x:c>
      <x:c r="B10" s="13"/>
      <x:c r="C10" s="13"/>
      <x:c r="D10" s="13"/>
      <x:c r="E10" s="13"/>
      <x:c r="F10" s="13"/>
      <x:c r="G10" s="13"/>
    </x:row>
    <x:row r="11" ht="22" customHeight="1">
      <x:c r="A11" s="42" t="str">
        <x:v>① 대학별 환산점수는 반영영역·가중치·가산점·만점이 서로 달라 대학 간 직접 비교용으로 사용하면 안 됩니다.
② '추천기준_백분위'는 프로젝트 실습용 공통 지표입니다. 공식 평균백분위가 없는 행은 과목별 70% 백분위를 단순평균한 파생값이므로 실제 대학별 환산과 다를 수 있습니다.
③ 영어 등급, 탐구 변환점수, 선택과목 가산점, 필수 응시영역, 실기/면접, 모집인원 변화 등을 현재 추천식이 모두 반영하지 않습니다.
④ '안정/적정/소신/상향'은 사용자가 입력한 국수탐 단순평균과 전년도 70% 기준의 차이만으로 분류하는 교육·프로토타입용 휴리스틱입니다.
⑤ 실제 지원 판단에는 해당 학년도 모집요강과 대학별 성적산출기를 반드시 함께 확인해야 합니다.
⑥ 현재 파일은 '전국형 통합 스키마 v1'이며 전국 모든 대학 완전수록본은 아닙니다.</x:v>
      </x:c>
      <x:c r="B11" s="42"/>
      <x:c r="C11" s="42"/>
      <x:c r="D11" s="42"/>
      <x:c r="E11" s="42"/>
      <x:c r="F11" s="42"/>
      <x:c r="G11" s="42"/>
    </x:row>
    <x:row r="12" ht="22" customHeight="1">
      <x:c r="A12" s="42"/>
      <x:c r="B12" s="42"/>
      <x:c r="C12" s="42"/>
      <x:c r="D12" s="42"/>
      <x:c r="E12" s="42"/>
      <x:c r="F12" s="42"/>
      <x:c r="G12" s="42"/>
    </x:row>
    <x:row r="13" ht="22" customHeight="1">
      <x:c r="A13" s="42"/>
      <x:c r="B13" s="42"/>
      <x:c r="C13" s="42"/>
      <x:c r="D13" s="42"/>
      <x:c r="E13" s="42"/>
      <x:c r="F13" s="42"/>
      <x:c r="G13" s="42"/>
    </x:row>
    <x:row r="14" ht="22" customHeight="1">
      <x:c r="A14" s="42"/>
      <x:c r="B14" s="42"/>
      <x:c r="C14" s="42"/>
      <x:c r="D14" s="42"/>
      <x:c r="E14" s="42"/>
      <x:c r="F14" s="42"/>
      <x:c r="G14" s="42"/>
    </x:row>
    <x:row r="15" ht="22" customHeight="1">
      <x:c r="A15" s="42"/>
      <x:c r="B15" s="42"/>
      <x:c r="C15" s="42"/>
      <x:c r="D15" s="42"/>
      <x:c r="E15" s="42"/>
      <x:c r="F15" s="42"/>
      <x:c r="G15" s="42"/>
    </x:row>
    <x:row r="16" ht="22" customHeight="1">
      <x:c r="A16" s="42"/>
      <x:c r="B16" s="42"/>
      <x:c r="C16" s="42"/>
      <x:c r="D16" s="42"/>
      <x:c r="E16" s="42"/>
      <x:c r="F16" s="42"/>
      <x:c r="G16" s="42"/>
    </x:row>
    <x:row r="17">
      <x:c r="A17" s="40"/>
      <x:c r="B17" s="40"/>
      <x:c r="C17" s="40"/>
      <x:c r="D17" s="40"/>
      <x:c r="E17" s="40"/>
      <x:c r="F17" s="40"/>
      <x:c r="G17" s="40"/>
    </x:row>
    <x:row r="18">
      <x:c r="A18" s="13" t="str">
        <x:v>추천 프로젝트에서의 사용 흐름</x:v>
      </x:c>
      <x:c r="B18" s="13"/>
      <x:c r="C18" s="13"/>
      <x:c r="D18" s="13"/>
      <x:c r="E18" s="13"/>
      <x:c r="F18" s="13"/>
      <x:c r="G18" s="13"/>
    </x:row>
    <x:row r="19">
      <x:c r="A19" s="23" t="str">
        <x:v>단계</x:v>
      </x:c>
      <x:c r="B19" s="23" t="str">
        <x:v>권장 처리</x:v>
      </x:c>
      <x:c r="C19" s="40"/>
      <x:c r="D19" s="40"/>
      <x:c r="E19" s="40"/>
      <x:c r="F19" s="40"/>
      <x:c r="G19" s="40"/>
    </x:row>
    <x:row r="20">
      <x:c r="A20" s="41" t="str">
        <x:v>1</x:v>
      </x:c>
      <x:c r="B20" s="41" t="str">
        <x:v>학생의 국어·수학·탐구 백분위를 입력</x:v>
      </x:c>
      <x:c r="C20" s="40"/>
      <x:c r="D20" s="40"/>
      <x:c r="E20" s="40"/>
      <x:c r="F20" s="40"/>
      <x:c r="G20" s="40"/>
    </x:row>
    <x:row r="21">
      <x:c r="A21" s="41" t="str">
        <x:v>2</x:v>
      </x:c>
      <x:c r="B21" s="41" t="str">
        <x:v>대학/학과별 모집군·지역·계열 등의 필터 적용</x:v>
      </x:c>
      <x:c r="C21" s="40"/>
      <x:c r="D21" s="40"/>
      <x:c r="E21" s="40"/>
      <x:c r="F21" s="40"/>
      <x:c r="G21" s="40"/>
    </x:row>
    <x:row r="22">
      <x:c r="A22" s="41" t="str">
        <x:v>3</x:v>
      </x:c>
      <x:c r="B22" s="41" t="str">
        <x:v>추천기준_백분위와 학생평균의 차이를 1차 비교</x:v>
      </x:c>
      <x:c r="C22" s="40"/>
      <x:c r="D22" s="40"/>
      <x:c r="E22" s="40"/>
      <x:c r="F22" s="40"/>
      <x:c r="G22" s="40"/>
    </x:row>
    <x:row r="23">
      <x:c r="A23" s="41" t="str">
        <x:v>4</x:v>
      </x:c>
      <x:c r="B23" s="41" t="str">
        <x:v>영어등급, 수학/탐구 선택과목, 대학별 반영비율·가산점을 별도 모델로 보정</x:v>
      </x:c>
      <x:c r="C23" s="40"/>
      <x:c r="D23" s="40"/>
      <x:c r="E23" s="40"/>
      <x:c r="F23" s="40"/>
      <x:c r="G23" s="40"/>
    </x:row>
    <x:row r="24">
      <x:c r="A24" s="41" t="str">
        <x:v>5</x:v>
      </x:c>
      <x:c r="B24" s="41" t="str">
        <x:v>최종적으로 대학 공식 성적산출기 또는 모집요강으로 재검증</x:v>
      </x:c>
      <x:c r="C24" s="40"/>
      <x:c r="D24" s="40"/>
      <x:c r="E24" s="40"/>
      <x:c r="F24" s="40"/>
      <x:c r="G24" s="40"/>
    </x:row>
    <x:row r="25">
      <x:c r="A25" s="40"/>
      <x:c r="B25" s="40"/>
      <x:c r="C25" s="40"/>
      <x:c r="D25" s="40"/>
      <x:c r="E25" s="40"/>
      <x:c r="F25" s="40"/>
      <x:c r="G25" s="40"/>
    </x:row>
    <x:row r="26">
      <x:c r="A26" s="13" t="str">
        <x:v>대표 공식 출처</x:v>
      </x:c>
      <x:c r="B26" s="13"/>
      <x:c r="C26" s="13"/>
      <x:c r="D26" s="13"/>
      <x:c r="E26" s="13"/>
      <x:c r="F26" s="13"/>
      <x:c r="G26" s="13"/>
    </x:row>
    <x:row r="27">
      <x:c r="A27" s="23" t="str">
        <x:v>출처</x:v>
      </x:c>
      <x:c r="B27" s="23" t="str">
        <x:v>URL</x:v>
      </x:c>
      <x:c r="C27" s="40"/>
      <x:c r="D27" s="40"/>
      <x:c r="E27" s="40"/>
      <x:c r="F27" s="40"/>
      <x:c r="G27" s="40"/>
    </x:row>
    <x:row r="28">
      <x:c r="A28" s="41" t="str">
        <x:v>대입정보포털 어디가</x:v>
      </x:c>
      <x:c r="B28" s="41" t="str">
        <x:v>https://www.adiga.kr/</x:v>
      </x:c>
      <x:c r="C28" s="40"/>
      <x:c r="D28" s="40"/>
      <x:c r="E28" s="40"/>
      <x:c r="F28" s="40"/>
      <x:c r="G28" s="40"/>
    </x:row>
    <x:row r="29">
      <x:c r="A29" s="41" t="str">
        <x:v>전국대학및전문대학정보 표준데이터</x:v>
      </x:c>
      <x:c r="B29" s="41" t="str">
        <x:v>https://www.data.go.kr/data/15107736/standard.do</x:v>
      </x:c>
      <x:c r="C29" s="40"/>
      <x:c r="D29" s="40"/>
      <x:c r="E29" s="40"/>
      <x:c r="F29" s="40"/>
      <x:c r="G29" s="40"/>
    </x:row>
    <x:row r="30">
      <x:c r="A30" s="41" t="str">
        <x:v>전국대학별학과정보 표준데이터</x:v>
      </x:c>
      <x:c r="B30" s="41" t="str">
        <x:v>https://www.data.go.kr/data/15107737/standard.do</x:v>
      </x:c>
      <x:c r="C30" s="40"/>
      <x:c r="D30" s="40"/>
      <x:c r="E30" s="40"/>
      <x:c r="F30" s="40"/>
      <x:c r="G30" s="40"/>
    </x:row>
  </x:sheetData>
  <x:mergeCells>
    <x:mergeCell ref="A1:G1"/>
    <x:mergeCell ref="A3:G3"/>
    <x:mergeCell ref="A10:G10"/>
    <x:mergeCell ref="A11:G16"/>
    <x:mergeCell ref="A18:G18"/>
    <x:mergeCell ref="A26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4" hidden="0" customWidth="1"/>
    <x:col min="4" max="4" width="18" hidden="0" customWidth="1"/>
    <x:col min="5" max="5" width="15" hidden="0" customWidth="1"/>
    <x:col min="6" max="6" width="18" hidden="0" customWidth="1"/>
  </x:cols>
  <x:sheetData>
    <x:row r="1" ht="30" customHeight="1">
      <x:c r="A1" s="5" t="str">
        <x:v>점수 입력 → 추천구간 테스트</x:v>
      </x:c>
      <x:c r="B1" s="5"/>
      <x:c r="C1" s="5"/>
      <x:c r="D1" s="5"/>
      <x:c r="E1" s="5"/>
      <x:c r="F1" s="5"/>
    </x:row>
    <x:row r="3">
      <x:c r="A3" s="23" t="str">
        <x:v>입력항목</x:v>
      </x:c>
      <x:c r="B3" s="23" t="str">
        <x:v>값</x:v>
      </x:c>
      <x:c r="D3" s="23" t="str">
        <x:v>현재 분류</x:v>
      </x:c>
      <x:c r="E3" s="23" t="str">
        <x:v>모집단위 수</x:v>
      </x:c>
    </x:row>
    <x:row r="4">
      <x:c r="A4" s="52" t="str">
        <x:v>국어 백분위</x:v>
      </x:c>
      <x:c r="B4" s="56" t="n">
        <x:v>80</x:v>
      </x:c>
      <x:c r="D4" s="52" t="str">
        <x:v>안정</x:v>
      </x:c>
      <x:c r="E4" s="64" t="n">
        <x:f>COUNTIF('정시입결_2025'!$AB$2:$AB$122,D4)</x:f>
        <x:v>29</x:v>
      </x:c>
    </x:row>
    <x:row r="5">
      <x:c r="A5" s="52" t="str">
        <x:v>수학 백분위</x:v>
      </x:c>
      <x:c r="B5" s="56" t="n">
        <x:v>80</x:v>
      </x:c>
      <x:c r="D5" s="52" t="str">
        <x:v>적정</x:v>
      </x:c>
      <x:c r="E5" s="64" t="n">
        <x:f>COUNTIF('정시입결_2025'!$AB$2:$AB$122,D5)</x:f>
        <x:v>13</x:v>
      </x:c>
    </x:row>
    <x:row r="6">
      <x:c r="A6" s="52" t="str">
        <x:v>탐구1 백분위</x:v>
      </x:c>
      <x:c r="B6" s="56" t="n">
        <x:v>80</x:v>
      </x:c>
      <x:c r="D6" s="52" t="str">
        <x:v>소신</x:v>
      </x:c>
      <x:c r="E6" s="64" t="n">
        <x:f>COUNTIF('정시입결_2025'!$AB$2:$AB$122,D6)</x:f>
        <x:v>17</x:v>
      </x:c>
    </x:row>
    <x:row r="7">
      <x:c r="A7" s="52" t="str">
        <x:v>탐구2 백분위</x:v>
      </x:c>
      <x:c r="B7" s="56" t="n">
        <x:v>80</x:v>
      </x:c>
      <x:c r="D7" s="52" t="str">
        <x:v>상향</x:v>
      </x:c>
      <x:c r="E7" s="64" t="n">
        <x:f>COUNTIF('정시입결_2025'!$AB$2:$AB$122,D7)</x:f>
        <x:v>62</x:v>
      </x:c>
    </x:row>
    <x:row r="8">
      <x:c r="A8" s="52" t="str">
        <x:v>국수탐 단순평균</x:v>
      </x:c>
      <x:c r="B8" s="57" t="n">
        <x:f>AVERAGE(B4:B7)</x:f>
        <x:v>80</x:v>
      </x:c>
    </x:row>
    <x:row r="9">
      <x:c r="A9" s="52" t="str">
        <x:v>영어 등급(참고)</x:v>
      </x:c>
      <x:c r="B9" s="56" t="n">
        <x:v>3</x:v>
      </x:c>
    </x:row>
    <x:row r="10">
      <x:c r="A10" s="52" t="str">
        <x:v>안정 기준 차이</x:v>
      </x:c>
      <x:c r="B10" s="56" t="n">
        <x:v>5</x:v>
      </x:c>
    </x:row>
    <x:row r="11">
      <x:c r="A11" s="52" t="str">
        <x:v>적정 기준 차이</x:v>
      </x:c>
      <x:c r="B11" s="56" t="n">
        <x:v>1</x:v>
      </x:c>
    </x:row>
    <x:row r="12">
      <x:c r="A12" s="52" t="str">
        <x:v>소신 기준 하한</x:v>
      </x:c>
      <x:c r="B12" s="56" t="n">
        <x:v>-2</x:v>
      </x:c>
    </x:row>
    <x:row r="14">
      <x:c r="A14" s="31" t="str">
        <x:v>분류 방식(초기 프로토타입): 학생 국수탐 단순평균 - 추천기준_백분위의 차이를 계산합니다.
차이 ≥ 안정 기준 → 안정 / 차이 ≥ 적정 기준 → 적정 / 차이 ≥ 소신 하한 → 소신 / 그 미만 → 상향.
추천기준은 공식 70% 평균백분위를 우선하며, 없을 경우 과목별 70% 백분위의 단순평균을 사용합니다.
실제 서비스에서는 대학별 반영비율·영어·가산점·필수영역을 추가해 보정하세요.</x:v>
      </x:c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  <x:row r="17">
      <x:c r="A17" s="31"/>
      <x:c r="B17" s="31"/>
      <x:c r="C17" s="31"/>
      <x:c r="D17" s="31"/>
      <x:c r="E17" s="31"/>
      <x:c r="F17" s="31"/>
    </x:row>
  </x:sheetData>
  <x:mergeCells>
    <x:mergeCell ref="A1:F1"/>
    <x:mergeCell ref="A14:F17"/>
  </x:mergeCells>
  <x:dataValidations count="2">
    <x:dataValidation operator="between" sqref="B4:B7">
      <x:formula1>0</x:formula1>
      <x:formula2>100</x:formula2>
    </x:dataValidation>
    <x:dataValidation operator="between" sqref="B9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8" hidden="0" customWidth="1"/>
    <x:col min="4" max="4" width="21" hidden="0" customWidth="1"/>
    <x:col min="5" max="5" width="8" hidden="0" customWidth="1"/>
    <x:col min="6" max="6" width="22" hidden="0" customWidth="1"/>
    <x:col min="7" max="7" width="34" hidden="0" customWidth="1"/>
    <x:col min="8" max="8" width="10" hidden="0" customWidth="1"/>
    <x:col min="9" max="9" width="8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12" hidden="0" customWidth="1"/>
    <x:col min="22" max="22" width="18" hidden="0" customWidth="1"/>
    <x:col min="23" max="23" width="21" hidden="0" customWidth="1"/>
    <x:col min="24" max="24" width="18" hidden="0" customWidth="1"/>
    <x:col min="25" max="25" width="22" hidden="0" customWidth="1"/>
    <x:col min="26" max="26" width="17" hidden="0" customWidth="1"/>
    <x:col min="27" max="27" width="12" hidden="0" customWidth="1"/>
    <x:col min="28" max="28" width="11" hidden="0" customWidth="1"/>
    <x:col min="29" max="29" width="11" hidden="0" customWidth="1"/>
    <x:col min="30" max="30" width="12" hidden="0" customWidth="1"/>
    <x:col min="31" max="31" width="11" hidden="0" customWidth="1"/>
    <x:col min="32" max="32" width="34" hidden="0" customWidth="1"/>
    <x:col min="33" max="33" width="52" hidden="0" customWidth="1"/>
  </x:cols>
  <x:sheetData>
    <x:row r="1" ht="38" customHeight="1">
      <x:c r="A1" s="23" t="str">
        <x:v>학년도</x:v>
      </x:c>
      <x:c r="B1" s="23" t="str">
        <x:v>지역</x:v>
      </x:c>
      <x:c r="C1" s="23" t="str">
        <x:v>설립</x:v>
      </x:c>
      <x:c r="D1" s="23" t="str">
        <x:v>대학명</x:v>
      </x:c>
      <x:c r="E1" s="23" t="str">
        <x:v>모집군</x:v>
      </x:c>
      <x:c r="F1" s="23" t="str">
        <x:v>전형명</x:v>
      </x:c>
      <x:c r="G1" s="23" t="str">
        <x:v>모집단위</x:v>
      </x:c>
      <x:c r="H1" s="23" t="str">
        <x:v>최초모집</x:v>
      </x:c>
      <x:c r="I1" s="23" t="str">
        <x:v>이월</x:v>
      </x:c>
      <x:c r="J1" s="23" t="str">
        <x:v>최종모집</x:v>
      </x:c>
      <x:c r="K1" s="23" t="str">
        <x:v>경쟁률</x:v>
      </x:c>
      <x:c r="L1" s="23" t="str">
        <x:v>충원합격순위</x:v>
      </x:c>
      <x:c r="M1" s="23" t="str">
        <x:v>환산50</x:v>
      </x:c>
      <x:c r="N1" s="23" t="str">
        <x:v>환산70</x:v>
      </x:c>
      <x:c r="O1" s="23" t="str">
        <x:v>수능총점</x:v>
      </x:c>
      <x:c r="P1" s="23" t="str">
        <x:v>국어70</x:v>
      </x:c>
      <x:c r="Q1" s="23" t="str">
        <x:v>수학70</x:v>
      </x:c>
      <x:c r="R1" s="23" t="str">
        <x:v>탐구1_70</x:v>
      </x:c>
      <x:c r="S1" s="23" t="str">
        <x:v>탐구2_70</x:v>
      </x:c>
      <x:c r="T1" s="23" t="str">
        <x:v>영어70_등급</x:v>
      </x:c>
      <x:c r="U1" s="23" t="str">
        <x:v>한국사70_등급</x:v>
      </x:c>
      <x:c r="V1" s="23" t="str">
        <x:v>공식70평균백분위</x:v>
      </x:c>
      <x:c r="W1" s="23" t="str">
        <x:v>파생_국수탐70단순평균</x:v>
      </x:c>
      <x:c r="X1" s="23" t="str">
        <x:v>추천기준_백분위</x:v>
      </x:c>
      <x:c r="Y1" s="23" t="str">
        <x:v>추천지표유형</x:v>
      </x:c>
      <x:c r="Z1" s="23" t="str">
        <x:v>학생평균백분위</x:v>
      </x:c>
      <x:c r="AA1" s="23" t="str">
        <x:v>점수차</x:v>
      </x:c>
      <x:c r="AB1" s="23" t="str">
        <x:v>추천구간</x:v>
      </x:c>
      <x:c r="AC1" s="23" t="str">
        <x:v>확통비율</x:v>
      </x:c>
      <x:c r="AD1" s="23" t="str">
        <x:v>미적분비율</x:v>
      </x:c>
      <x:c r="AE1" s="23" t="str">
        <x:v>기하비율</x:v>
      </x:c>
      <x:c r="AF1" s="23" t="str">
        <x:v>비고</x:v>
      </x:c>
      <x:c r="AG1" s="23" t="str">
        <x:v>출처URL</x:v>
      </x:c>
    </x:row>
    <x:row r="2">
      <x:c r="A2" s="40" t="n">
        <x:v>2025</x:v>
      </x:c>
      <x:c r="B2" s="40" t="str">
        <x:v>서울특별시</x:v>
      </x:c>
      <x:c r="C2" s="40" t="str">
        <x:v>국립</x:v>
      </x:c>
      <x:c r="D2" s="40" t="str">
        <x:v>서울과학기술대학교</x:v>
      </x:c>
      <x:c r="E2" s="40" t="str">
        <x:v>가</x:v>
      </x:c>
      <x:c r="F2" s="40" t="str">
        <x:v>수능위주(일반전형)</x:v>
      </x:c>
      <x:c r="G2" s="41" t="str">
        <x:v>기계시스템디자인공학과</x:v>
      </x:c>
      <x:c r="H2" s="40"/>
      <x:c r="I2" s="40"/>
      <x:c r="J2" s="40" t="n">
        <x:v>47</x:v>
      </x:c>
      <x:c r="K2" s="60" t="n">
        <x:v>5.64</x:v>
      </x:c>
      <x:c r="L2" s="40" t="n">
        <x:v>27</x:v>
      </x:c>
      <x:c r="M2" s="60"/>
      <x:c r="N2" s="60" t="n">
        <x:v>911.11</x:v>
      </x:c>
      <x:c r="O2" s="60" t="n">
        <x:v>1000</x:v>
      </x:c>
      <x:c r="P2" s="62"/>
      <x:c r="Q2" s="62"/>
      <x:c r="R2" s="62"/>
      <x:c r="S2" s="62"/>
      <x:c r="T2" s="62"/>
      <x:c r="U2" s="62"/>
      <x:c r="V2" s="60" t="n">
        <x:v>83.33</x:v>
      </x:c>
      <x:c r="W2" s="60" t="str">
        <x:f>IF(COUNT(P2:S2)&gt;=3,AVERAGE(P2:S2),"")</x:f>
      </x:c>
      <x:c r="X2" s="60" t="n">
        <x:f>IF(V2&lt;&gt;"",V2,W2)</x:f>
        <x:v>83.33</x:v>
      </x:c>
      <x:c r="Y2" s="40" t="str">
        <x:f>IF(V2&lt;&gt;"","공식 70% 평균백분위",IF(W2&lt;&gt;"","파생 단순평균(참고)","비교불가"))</x:f>
        <x:v>공식 70% 평균백분위</x:v>
      </x:c>
      <x:c r="Z2" s="60" t="n">
        <x:f>'추천_테스트'!$B$8</x:f>
        <x:v>80</x:v>
      </x:c>
      <x:c r="AA2" s="60" t="n">
        <x:f>IF(X2="","",Z2-X2)</x:f>
        <x:v>-3.3299999999999983</x:v>
      </x:c>
      <x:c r="AB2" s="40" t="str">
        <x:f>IF(X2="","",IF(AA2&gt;='추천_테스트'!$B$10,"안정",IF(AA2&gt;='추천_테스트'!$B$11,"적정",IF(AA2&gt;='추천_테스트'!$B$12,"소신","상향"))))</x:f>
        <x:v>상향</x:v>
      </x:c>
      <x:c r="AC2" s="62" t="n">
        <x:v>2</x:v>
      </x:c>
      <x:c r="AD2" s="62" t="n">
        <x:v>93</x:v>
      </x:c>
      <x:c r="AE2" s="62" t="n">
        <x:v>4</x:v>
      </x:c>
      <x:c r="AF2" s="41" t="str">
        <x:v>A: 공식 70% 평균백분위 제공</x:v>
      </x:c>
      <x:c r="AG2" s="41" t="str">
        <x:v>https://www.adiga.kr/ucp/uvt/uni/univDetailSelection.do?menuId=PCUVTINF2000&amp;searchSyr=2026&amp;unvCd=0000036</x:v>
      </x:c>
    </x:row>
    <x:row r="3">
      <x:c r="A3" s="40" t="n">
        <x:v>2025</x:v>
      </x:c>
      <x:c r="B3" s="40" t="str">
        <x:v>서울특별시</x:v>
      </x:c>
      <x:c r="C3" s="40" t="str">
        <x:v>국립</x:v>
      </x:c>
      <x:c r="D3" s="40" t="str">
        <x:v>서울과학기술대학교</x:v>
      </x:c>
      <x:c r="E3" s="40" t="str">
        <x:v>가</x:v>
      </x:c>
      <x:c r="F3" s="40" t="str">
        <x:v>수능위주(일반전형)</x:v>
      </x:c>
      <x:c r="G3" s="41" t="str">
        <x:v>안전공학과</x:v>
      </x:c>
      <x:c r="H3" s="40"/>
      <x:c r="I3" s="40"/>
      <x:c r="J3" s="40" t="n">
        <x:v>17</x:v>
      </x:c>
      <x:c r="K3" s="60" t="n">
        <x:v>5.53</x:v>
      </x:c>
      <x:c r="L3" s="40" t="n">
        <x:v>8</x:v>
      </x:c>
      <x:c r="M3" s="60"/>
      <x:c r="N3" s="60" t="n">
        <x:v>905.97</x:v>
      </x:c>
      <x:c r="O3" s="60" t="n">
        <x:v>1000</x:v>
      </x:c>
      <x:c r="P3" s="62"/>
      <x:c r="Q3" s="62"/>
      <x:c r="R3" s="62"/>
      <x:c r="S3" s="62"/>
      <x:c r="T3" s="62"/>
      <x:c r="U3" s="62"/>
      <x:c r="V3" s="60" t="n">
        <x:v>82.17</x:v>
      </x:c>
      <x:c r="W3" s="60" t="str">
        <x:f>IF(COUNT(P3:S3)&gt;=3,AVERAGE(P3:S3),"")</x:f>
      </x:c>
      <x:c r="X3" s="60" t="n">
        <x:f>IF(V3&lt;&gt;"",V3,W3)</x:f>
        <x:v>82.17</x:v>
      </x:c>
      <x:c r="Y3" s="40" t="str">
        <x:f>IF(V3&lt;&gt;"","공식 70% 평균백분위",IF(W3&lt;&gt;"","파생 단순평균(참고)","비교불가"))</x:f>
        <x:v>공식 70% 평균백분위</x:v>
      </x:c>
      <x:c r="Z3" s="60" t="n">
        <x:f>'추천_테스트'!$B$8</x:f>
        <x:v>80</x:v>
      </x:c>
      <x:c r="AA3" s="60" t="n">
        <x:f>IF(X3="","",Z3-X3)</x:f>
        <x:v>-2.1700000000000017</x:v>
      </x:c>
      <x:c r="AB3" s="40" t="str">
        <x:f>IF(X3="","",IF(AA3&gt;='추천_테스트'!$B$10,"안정",IF(AA3&gt;='추천_테스트'!$B$11,"적정",IF(AA3&gt;='추천_테스트'!$B$12,"소신","상향"))))</x:f>
        <x:v>상향</x:v>
      </x:c>
      <x:c r="AC3" s="62" t="n">
        <x:v>0</x:v>
      </x:c>
      <x:c r="AD3" s="62" t="n">
        <x:v>100</x:v>
      </x:c>
      <x:c r="AE3" s="62" t="n">
        <x:v>0</x:v>
      </x:c>
      <x:c r="AF3" s="41" t="str">
        <x:v>A: 공식 70% 평균백분위 제공</x:v>
      </x:c>
      <x:c r="AG3" s="41" t="str">
        <x:v>https://www.adiga.kr/ucp/uvt/uni/univDetailSelection.do?menuId=PCUVTINF2000&amp;searchSyr=2026&amp;unvCd=0000036</x:v>
      </x:c>
    </x:row>
    <x:row r="4">
      <x:c r="A4" s="40" t="n">
        <x:v>2025</x:v>
      </x:c>
      <x:c r="B4" s="40" t="str">
        <x:v>서울특별시</x:v>
      </x:c>
      <x:c r="C4" s="40" t="str">
        <x:v>국립</x:v>
      </x:c>
      <x:c r="D4" s="40" t="str">
        <x:v>서울과학기술대학교</x:v>
      </x:c>
      <x:c r="E4" s="40" t="str">
        <x:v>가</x:v>
      </x:c>
      <x:c r="F4" s="40" t="str">
        <x:v>수능위주(일반전형)</x:v>
      </x:c>
      <x:c r="G4" s="41" t="str">
        <x:v>신소재공학과</x:v>
      </x:c>
      <x:c r="H4" s="40"/>
      <x:c r="I4" s="40"/>
      <x:c r="J4" s="40" t="n">
        <x:v>24</x:v>
      </x:c>
      <x:c r="K4" s="60" t="n">
        <x:v>5.17</x:v>
      </x:c>
      <x:c r="L4" s="40" t="n">
        <x:v>35</x:v>
      </x:c>
      <x:c r="M4" s="60"/>
      <x:c r="N4" s="60" t="n">
        <x:v>913.87</x:v>
      </x:c>
      <x:c r="O4" s="60" t="n">
        <x:v>1000</x:v>
      </x:c>
      <x:c r="P4" s="62"/>
      <x:c r="Q4" s="62"/>
      <x:c r="R4" s="62"/>
      <x:c r="S4" s="62"/>
      <x:c r="T4" s="62"/>
      <x:c r="U4" s="62"/>
      <x:c r="V4" s="60" t="n">
        <x:v>83.83</x:v>
      </x:c>
      <x:c r="W4" s="60" t="str">
        <x:f>IF(COUNT(P4:S4)&gt;=3,AVERAGE(P4:S4),"")</x:f>
      </x:c>
      <x:c r="X4" s="60" t="n">
        <x:f>IF(V4&lt;&gt;"",V4,W4)</x:f>
        <x:v>83.83</x:v>
      </x:c>
      <x:c r="Y4" s="40" t="str">
        <x:f>IF(V4&lt;&gt;"","공식 70% 평균백분위",IF(W4&lt;&gt;"","파생 단순평균(참고)","비교불가"))</x:f>
        <x:v>공식 70% 평균백분위</x:v>
      </x:c>
      <x:c r="Z4" s="60" t="n">
        <x:f>'추천_테스트'!$B$8</x:f>
        <x:v>80</x:v>
      </x:c>
      <x:c r="AA4" s="60" t="n">
        <x:f>IF(X4="","",Z4-X4)</x:f>
        <x:v>-3.8299999999999983</x:v>
      </x:c>
      <x:c r="AB4" s="40" t="str">
        <x:f>IF(X4="","",IF(AA4&gt;='추천_테스트'!$B$10,"안정",IF(AA4&gt;='추천_테스트'!$B$11,"적정",IF(AA4&gt;='추천_테스트'!$B$12,"소신","상향"))))</x:f>
        <x:v>상향</x:v>
      </x:c>
      <x:c r="AC4" s="62" t="n">
        <x:v>0</x:v>
      </x:c>
      <x:c r="AD4" s="62" t="n">
        <x:v>96</x:v>
      </x:c>
      <x:c r="AE4" s="62" t="n">
        <x:v>4</x:v>
      </x:c>
      <x:c r="AF4" s="41" t="str">
        <x:v>A: 공식 70% 평균백분위 제공</x:v>
      </x:c>
      <x:c r="AG4" s="41" t="str">
        <x:v>https://www.adiga.kr/ucp/uvt/uni/univDetailSelection.do?menuId=PCUVTINF2000&amp;searchSyr=2026&amp;unvCd=0000036</x:v>
      </x:c>
    </x:row>
    <x:row r="5">
      <x:c r="A5" s="40" t="n">
        <x:v>2025</x:v>
      </x:c>
      <x:c r="B5" s="40" t="str">
        <x:v>서울특별시</x:v>
      </x:c>
      <x:c r="C5" s="40" t="str">
        <x:v>국립</x:v>
      </x:c>
      <x:c r="D5" s="40" t="str">
        <x:v>서울과학기술대학교</x:v>
      </x:c>
      <x:c r="E5" s="40" t="str">
        <x:v>가</x:v>
      </x:c>
      <x:c r="F5" s="40" t="str">
        <x:v>수능위주(일반전형)</x:v>
      </x:c>
      <x:c r="G5" s="41" t="str">
        <x:v>건설시스템공학과</x:v>
      </x:c>
      <x:c r="H5" s="40"/>
      <x:c r="I5" s="40"/>
      <x:c r="J5" s="40" t="n">
        <x:v>29</x:v>
      </x:c>
      <x:c r="K5" s="60" t="n">
        <x:v>4.72</x:v>
      </x:c>
      <x:c r="L5" s="40" t="n">
        <x:v>18</x:v>
      </x:c>
      <x:c r="M5" s="60"/>
      <x:c r="N5" s="60" t="n">
        <x:v>906.01</x:v>
      </x:c>
      <x:c r="O5" s="60" t="n">
        <x:v>1000</x:v>
      </x:c>
      <x:c r="P5" s="62"/>
      <x:c r="Q5" s="62"/>
      <x:c r="R5" s="62"/>
      <x:c r="S5" s="62"/>
      <x:c r="T5" s="62"/>
      <x:c r="U5" s="62"/>
      <x:c r="V5" s="60" t="n">
        <x:v>82.17</x:v>
      </x:c>
      <x:c r="W5" s="60" t="str">
        <x:f>IF(COUNT(P5:S5)&gt;=3,AVERAGE(P5:S5),"")</x:f>
      </x:c>
      <x:c r="X5" s="60" t="n">
        <x:f>IF(V5&lt;&gt;"",V5,W5)</x:f>
        <x:v>82.17</x:v>
      </x:c>
      <x:c r="Y5" s="40" t="str">
        <x:f>IF(V5&lt;&gt;"","공식 70% 평균백분위",IF(W5&lt;&gt;"","파생 단순평균(참고)","비교불가"))</x:f>
        <x:v>공식 70% 평균백분위</x:v>
      </x:c>
      <x:c r="Z5" s="60" t="n">
        <x:f>'추천_테스트'!$B$8</x:f>
        <x:v>80</x:v>
      </x:c>
      <x:c r="AA5" s="60" t="n">
        <x:f>IF(X5="","",Z5-X5)</x:f>
        <x:v>-2.1700000000000017</x:v>
      </x:c>
      <x:c r="AB5" s="40" t="str">
        <x:f>IF(X5="","",IF(AA5&gt;='추천_테스트'!$B$10,"안정",IF(AA5&gt;='추천_테스트'!$B$11,"적정",IF(AA5&gt;='추천_테스트'!$B$12,"소신","상향"))))</x:f>
        <x:v>상향</x:v>
      </x:c>
      <x:c r="AC5" s="62" t="n">
        <x:v>0</x:v>
      </x:c>
      <x:c r="AD5" s="62" t="n">
        <x:v>100</x:v>
      </x:c>
      <x:c r="AE5" s="62" t="n">
        <x:v>0</x:v>
      </x:c>
      <x:c r="AF5" s="41" t="str">
        <x:v>A: 공식 70% 평균백분위 제공</x:v>
      </x:c>
      <x:c r="AG5" s="41" t="str">
        <x:v>https://www.adiga.kr/ucp/uvt/uni/univDetailSelection.do?menuId=PCUVTINF2000&amp;searchSyr=2026&amp;unvCd=0000036</x:v>
      </x:c>
    </x:row>
    <x:row r="6">
      <x:c r="A6" s="40" t="n">
        <x:v>2025</x:v>
      </x:c>
      <x:c r="B6" s="40" t="str">
        <x:v>서울특별시</x:v>
      </x:c>
      <x:c r="C6" s="40" t="str">
        <x:v>국립</x:v>
      </x:c>
      <x:c r="D6" s="40" t="str">
        <x:v>서울과학기술대학교</x:v>
      </x:c>
      <x:c r="E6" s="40" t="str">
        <x:v>가</x:v>
      </x:c>
      <x:c r="F6" s="40" t="str">
        <x:v>수능위주(일반전형)</x:v>
      </x:c>
      <x:c r="G6" s="41" t="str">
        <x:v>전기정보공학과</x:v>
      </x:c>
      <x:c r="H6" s="40"/>
      <x:c r="I6" s="40"/>
      <x:c r="J6" s="40" t="n">
        <x:v>34</x:v>
      </x:c>
      <x:c r="K6" s="60" t="n">
        <x:v>4.38</x:v>
      </x:c>
      <x:c r="L6" s="40" t="n">
        <x:v>32</x:v>
      </x:c>
      <x:c r="M6" s="60"/>
      <x:c r="N6" s="60" t="n">
        <x:v>917.31</x:v>
      </x:c>
      <x:c r="O6" s="60" t="n">
        <x:v>1000</x:v>
      </x:c>
      <x:c r="P6" s="62"/>
      <x:c r="Q6" s="62"/>
      <x:c r="R6" s="62"/>
      <x:c r="S6" s="62"/>
      <x:c r="T6" s="62"/>
      <x:c r="U6" s="62"/>
      <x:c r="V6" s="60" t="n">
        <x:v>85</x:v>
      </x:c>
      <x:c r="W6" s="60" t="str">
        <x:f>IF(COUNT(P6:S6)&gt;=3,AVERAGE(P6:S6),"")</x:f>
      </x:c>
      <x:c r="X6" s="60" t="n">
        <x:f>IF(V6&lt;&gt;"",V6,W6)</x:f>
        <x:v>85</x:v>
      </x:c>
      <x:c r="Y6" s="40" t="str">
        <x:f>IF(V6&lt;&gt;"","공식 70% 평균백분위",IF(W6&lt;&gt;"","파생 단순평균(참고)","비교불가"))</x:f>
        <x:v>공식 70% 평균백분위</x:v>
      </x:c>
      <x:c r="Z6" s="60" t="n">
        <x:f>'추천_테스트'!$B$8</x:f>
        <x:v>80</x:v>
      </x:c>
      <x:c r="AA6" s="60" t="n">
        <x:f>IF(X6="","",Z6-X6)</x:f>
        <x:v>-5</x:v>
      </x:c>
      <x:c r="AB6" s="40" t="str">
        <x:f>IF(X6="","",IF(AA6&gt;='추천_테스트'!$B$10,"안정",IF(AA6&gt;='추천_테스트'!$B$11,"적정",IF(AA6&gt;='추천_테스트'!$B$12,"소신","상향"))))</x:f>
        <x:v>상향</x:v>
      </x:c>
      <x:c r="AC6" s="62" t="n">
        <x:v>0</x:v>
      </x:c>
      <x:c r="AD6" s="62" t="n">
        <x:v>94</x:v>
      </x:c>
      <x:c r="AE6" s="62" t="n">
        <x:v>6</x:v>
      </x:c>
      <x:c r="AF6" s="41" t="str">
        <x:v>A: 공식 70% 평균백분위 제공</x:v>
      </x:c>
      <x:c r="AG6" s="41" t="str">
        <x:v>https://www.adiga.kr/ucp/uvt/uni/univDetailSelection.do?menuId=PCUVTINF2000&amp;searchSyr=2026&amp;unvCd=0000036</x:v>
      </x:c>
    </x:row>
    <x:row r="7">
      <x:c r="A7" s="40" t="n">
        <x:v>2025</x:v>
      </x:c>
      <x:c r="B7" s="40" t="str">
        <x:v>서울특별시</x:v>
      </x:c>
      <x:c r="C7" s="40" t="str">
        <x:v>국립</x:v>
      </x:c>
      <x:c r="D7" s="40" t="str">
        <x:v>서울과학기술대학교</x:v>
      </x:c>
      <x:c r="E7" s="40" t="str">
        <x:v>가</x:v>
      </x:c>
      <x:c r="F7" s="40" t="str">
        <x:v>수능위주(일반전형)</x:v>
      </x:c>
      <x:c r="G7" s="41" t="str">
        <x:v>컴퓨터공학과</x:v>
      </x:c>
      <x:c r="H7" s="40"/>
      <x:c r="I7" s="40"/>
      <x:c r="J7" s="40" t="n">
        <x:v>20</x:v>
      </x:c>
      <x:c r="K7" s="60" t="n">
        <x:v>5.05</x:v>
      </x:c>
      <x:c r="L7" s="40" t="n">
        <x:v>13</x:v>
      </x:c>
      <x:c r="M7" s="60"/>
      <x:c r="N7" s="60" t="n">
        <x:v>921.29</x:v>
      </x:c>
      <x:c r="O7" s="60" t="n">
        <x:v>1000</x:v>
      </x:c>
      <x:c r="P7" s="62"/>
      <x:c r="Q7" s="62"/>
      <x:c r="R7" s="62"/>
      <x:c r="S7" s="62"/>
      <x:c r="T7" s="62"/>
      <x:c r="U7" s="62"/>
      <x:c r="V7" s="60" t="n">
        <x:v>83.83</x:v>
      </x:c>
      <x:c r="W7" s="60" t="str">
        <x:f>IF(COUNT(P7:S7)&gt;=3,AVERAGE(P7:S7),"")</x:f>
      </x:c>
      <x:c r="X7" s="60" t="n">
        <x:f>IF(V7&lt;&gt;"",V7,W7)</x:f>
        <x:v>83.83</x:v>
      </x:c>
      <x:c r="Y7" s="40" t="str">
        <x:f>IF(V7&lt;&gt;"","공식 70% 평균백분위",IF(W7&lt;&gt;"","파생 단순평균(참고)","비교불가"))</x:f>
        <x:v>공식 70% 평균백분위</x:v>
      </x:c>
      <x:c r="Z7" s="60" t="n">
        <x:f>'추천_테스트'!$B$8</x:f>
        <x:v>80</x:v>
      </x:c>
      <x:c r="AA7" s="60" t="n">
        <x:f>IF(X7="","",Z7-X7)</x:f>
        <x:v>-3.8299999999999983</x:v>
      </x:c>
      <x:c r="AB7" s="40" t="str">
        <x:f>IF(X7="","",IF(AA7&gt;='추천_테스트'!$B$10,"안정",IF(AA7&gt;='추천_테스트'!$B$11,"적정",IF(AA7&gt;='추천_테스트'!$B$12,"소신","상향"))))</x:f>
        <x:v>상향</x:v>
      </x:c>
      <x:c r="AC7" s="62" t="n">
        <x:v>0</x:v>
      </x:c>
      <x:c r="AD7" s="62" t="n">
        <x:v>100</x:v>
      </x:c>
      <x:c r="AE7" s="62" t="n">
        <x:v>0</x:v>
      </x:c>
      <x:c r="AF7" s="41" t="str">
        <x:v>A: 공식 70% 평균백분위 제공</x:v>
      </x:c>
      <x:c r="AG7" s="41" t="str">
        <x:v>https://www.adiga.kr/ucp/uvt/uni/univDetailSelection.do?menuId=PCUVTINF2000&amp;searchSyr=2026&amp;unvCd=0000036</x:v>
      </x:c>
    </x:row>
    <x:row r="8">
      <x:c r="A8" s="40" t="n">
        <x:v>2025</x:v>
      </x:c>
      <x:c r="B8" s="40" t="str">
        <x:v>서울특별시</x:v>
      </x:c>
      <x:c r="C8" s="40" t="str">
        <x:v>국립</x:v>
      </x:c>
      <x:c r="D8" s="40" t="str">
        <x:v>서울과학기술대학교</x:v>
      </x:c>
      <x:c r="E8" s="40" t="str">
        <x:v>가</x:v>
      </x:c>
      <x:c r="F8" s="40" t="str">
        <x:v>수능위주(일반전형)</x:v>
      </x:c>
      <x:c r="G8" s="41" t="str">
        <x:v>환경공학과</x:v>
      </x:c>
      <x:c r="H8" s="40"/>
      <x:c r="I8" s="40"/>
      <x:c r="J8" s="40" t="n">
        <x:v>16</x:v>
      </x:c>
      <x:c r="K8" s="60" t="n">
        <x:v>5</x:v>
      </x:c>
      <x:c r="L8" s="40" t="n">
        <x:v>7</x:v>
      </x:c>
      <x:c r="M8" s="60"/>
      <x:c r="N8" s="60" t="n">
        <x:v>907.69</x:v>
      </x:c>
      <x:c r="O8" s="60" t="n">
        <x:v>1000</x:v>
      </x:c>
      <x:c r="P8" s="62"/>
      <x:c r="Q8" s="62"/>
      <x:c r="R8" s="62"/>
      <x:c r="S8" s="62"/>
      <x:c r="T8" s="62"/>
      <x:c r="U8" s="62"/>
      <x:c r="V8" s="60" t="n">
        <x:v>82.83</x:v>
      </x:c>
      <x:c r="W8" s="60" t="str">
        <x:f>IF(COUNT(P8:S8)&gt;=3,AVERAGE(P8:S8),"")</x:f>
      </x:c>
      <x:c r="X8" s="60" t="n">
        <x:f>IF(V8&lt;&gt;"",V8,W8)</x:f>
        <x:v>82.83</x:v>
      </x:c>
      <x:c r="Y8" s="40" t="str">
        <x:f>IF(V8&lt;&gt;"","공식 70% 평균백분위",IF(W8&lt;&gt;"","파생 단순평균(참고)","비교불가"))</x:f>
        <x:v>공식 70% 평균백분위</x:v>
      </x:c>
      <x:c r="Z8" s="60" t="n">
        <x:f>'추천_테스트'!$B$8</x:f>
        <x:v>80</x:v>
      </x:c>
      <x:c r="AA8" s="60" t="n">
        <x:f>IF(X8="","",Z8-X8)</x:f>
        <x:v>-2.8299999999999983</x:v>
      </x:c>
      <x:c r="AB8" s="40" t="str">
        <x:f>IF(X8="","",IF(AA8&gt;='추천_테스트'!$B$10,"안정",IF(AA8&gt;='추천_테스트'!$B$11,"적정",IF(AA8&gt;='추천_테스트'!$B$12,"소신","상향"))))</x:f>
        <x:v>상향</x:v>
      </x:c>
      <x:c r="AC8" s="62" t="n">
        <x:v>6</x:v>
      </x:c>
      <x:c r="AD8" s="62" t="n">
        <x:v>81</x:v>
      </x:c>
      <x:c r="AE8" s="62" t="n">
        <x:v>13</x:v>
      </x:c>
      <x:c r="AF8" s="41" t="str">
        <x:v>A: 공식 70% 평균백분위 제공</x:v>
      </x:c>
      <x:c r="AG8" s="41" t="str">
        <x:v>https://www.adiga.kr/ucp/uvt/uni/univDetailSelection.do?menuId=PCUVTINF2000&amp;searchSyr=2026&amp;unvCd=0000036</x:v>
      </x:c>
    </x:row>
    <x:row r="9">
      <x:c r="A9" s="40" t="n">
        <x:v>2025</x:v>
      </x:c>
      <x:c r="B9" s="40" t="str">
        <x:v>서울특별시</x:v>
      </x:c>
      <x:c r="C9" s="40" t="str">
        <x:v>국립</x:v>
      </x:c>
      <x:c r="D9" s="40" t="str">
        <x:v>서울과학기술대학교</x:v>
      </x:c>
      <x:c r="E9" s="40" t="str">
        <x:v>가</x:v>
      </x:c>
      <x:c r="F9" s="40" t="str">
        <x:v>수능위주(일반전형)</x:v>
      </x:c>
      <x:c r="G9" s="41" t="str">
        <x:v>정밀화학과</x:v>
      </x:c>
      <x:c r="H9" s="40"/>
      <x:c r="I9" s="40"/>
      <x:c r="J9" s="40" t="n">
        <x:v>14</x:v>
      </x:c>
      <x:c r="K9" s="60" t="n">
        <x:v>4.14</x:v>
      </x:c>
      <x:c r="L9" s="40" t="n">
        <x:v>6</x:v>
      </x:c>
      <x:c r="M9" s="60"/>
      <x:c r="N9" s="60" t="n">
        <x:v>912.29</x:v>
      </x:c>
      <x:c r="O9" s="60" t="n">
        <x:v>1000</x:v>
      </x:c>
      <x:c r="P9" s="62"/>
      <x:c r="Q9" s="62"/>
      <x:c r="R9" s="62"/>
      <x:c r="S9" s="62"/>
      <x:c r="T9" s="62"/>
      <x:c r="U9" s="62"/>
      <x:c r="V9" s="60" t="n">
        <x:v>84.17</x:v>
      </x:c>
      <x:c r="W9" s="60" t="str">
        <x:f>IF(COUNT(P9:S9)&gt;=3,AVERAGE(P9:S9),"")</x:f>
      </x:c>
      <x:c r="X9" s="60" t="n">
        <x:f>IF(V9&lt;&gt;"",V9,W9)</x:f>
        <x:v>84.17</x:v>
      </x:c>
      <x:c r="Y9" s="40" t="str">
        <x:f>IF(V9&lt;&gt;"","공식 70% 평균백분위",IF(W9&lt;&gt;"","파생 단순평균(참고)","비교불가"))</x:f>
        <x:v>공식 70% 평균백분위</x:v>
      </x:c>
      <x:c r="Z9" s="60" t="n">
        <x:f>'추천_테스트'!$B$8</x:f>
        <x:v>80</x:v>
      </x:c>
      <x:c r="AA9" s="60" t="n">
        <x:f>IF(X9="","",Z9-X9)</x:f>
        <x:v>-4.170000000000002</x:v>
      </x:c>
      <x:c r="AB9" s="40" t="str">
        <x:f>IF(X9="","",IF(AA9&gt;='추천_테스트'!$B$10,"안정",IF(AA9&gt;='추천_테스트'!$B$11,"적정",IF(AA9&gt;='추천_테스트'!$B$12,"소신","상향"))))</x:f>
        <x:v>상향</x:v>
      </x:c>
      <x:c r="AC9" s="62" t="n">
        <x:v>0</x:v>
      </x:c>
      <x:c r="AD9" s="62" t="n">
        <x:v>93</x:v>
      </x:c>
      <x:c r="AE9" s="62" t="n">
        <x:v>7</x:v>
      </x:c>
      <x:c r="AF9" s="41" t="str">
        <x:v>A: 공식 70% 평균백분위 제공</x:v>
      </x:c>
      <x:c r="AG9" s="41" t="str">
        <x:v>https://www.adiga.kr/ucp/uvt/uni/univDetailSelection.do?menuId=PCUVTINF2000&amp;searchSyr=2026&amp;unvCd=0000036</x:v>
      </x:c>
    </x:row>
    <x:row r="10">
      <x:c r="A10" s="40" t="n">
        <x:v>2025</x:v>
      </x:c>
      <x:c r="B10" s="40" t="str">
        <x:v>서울특별시</x:v>
      </x:c>
      <x:c r="C10" s="40" t="str">
        <x:v>국립</x:v>
      </x:c>
      <x:c r="D10" s="40" t="str">
        <x:v>서울과학기술대학교</x:v>
      </x:c>
      <x:c r="E10" s="40" t="str">
        <x:v>가</x:v>
      </x:c>
      <x:c r="F10" s="40" t="str">
        <x:v>수능위주(일반전형)</x:v>
      </x:c>
      <x:c r="G10" s="41" t="str">
        <x:v>안경광학과</x:v>
      </x:c>
      <x:c r="H10" s="40"/>
      <x:c r="I10" s="40"/>
      <x:c r="J10" s="40" t="n">
        <x:v>14</x:v>
      </x:c>
      <x:c r="K10" s="60" t="n">
        <x:v>4.43</x:v>
      </x:c>
      <x:c r="L10" s="40" t="n">
        <x:v>5</x:v>
      </x:c>
      <x:c r="M10" s="60"/>
      <x:c r="N10" s="60" t="n">
        <x:v>903.29</x:v>
      </x:c>
      <x:c r="O10" s="60" t="n">
        <x:v>1000</x:v>
      </x:c>
      <x:c r="P10" s="62"/>
      <x:c r="Q10" s="62"/>
      <x:c r="R10" s="62"/>
      <x:c r="S10" s="62"/>
      <x:c r="T10" s="62"/>
      <x:c r="U10" s="62"/>
      <x:c r="V10" s="60" t="n">
        <x:v>80.67</x:v>
      </x:c>
      <x:c r="W10" s="60" t="str">
        <x:f>IF(COUNT(P10:S10)&gt;=3,AVERAGE(P10:S10),"")</x:f>
      </x:c>
      <x:c r="X10" s="60" t="n">
        <x:f>IF(V10&lt;&gt;"",V10,W10)</x:f>
        <x:v>80.67</x:v>
      </x:c>
      <x:c r="Y10" s="40" t="str">
        <x:f>IF(V10&lt;&gt;"","공식 70% 평균백분위",IF(W10&lt;&gt;"","파생 단순평균(참고)","비교불가"))</x:f>
        <x:v>공식 70% 평균백분위</x:v>
      </x:c>
      <x:c r="Z10" s="60" t="n">
        <x:f>'추천_테스트'!$B$8</x:f>
        <x:v>80</x:v>
      </x:c>
      <x:c r="AA10" s="60" t="n">
        <x:f>IF(X10="","",Z10-X10)</x:f>
        <x:v>-0.6700000000000017</x:v>
      </x:c>
      <x:c r="AB10" s="40" t="str">
        <x:f>IF(X10="","",IF(AA10&gt;='추천_테스트'!$B$10,"안정",IF(AA10&gt;='추천_테스트'!$B$11,"적정",IF(AA10&gt;='추천_테스트'!$B$12,"소신","상향"))))</x:f>
        <x:v>소신</x:v>
      </x:c>
      <x:c r="AC10" s="62" t="n">
        <x:v>0</x:v>
      </x:c>
      <x:c r="AD10" s="62" t="n">
        <x:v>100</x:v>
      </x:c>
      <x:c r="AE10" s="62" t="n">
        <x:v>0</x:v>
      </x:c>
      <x:c r="AF10" s="41" t="str">
        <x:v>A: 공식 70% 평균백분위 제공</x:v>
      </x:c>
      <x:c r="AG10" s="41" t="str">
        <x:v>https://www.adiga.kr/ucp/uvt/uni/univDetailSelection.do?menuId=PCUVTINF2000&amp;searchSyr=2026&amp;unvCd=0000036</x:v>
      </x:c>
    </x:row>
    <x:row r="11">
      <x:c r="A11" s="40" t="n">
        <x:v>2025</x:v>
      </x:c>
      <x:c r="B11" s="40" t="str">
        <x:v>서울특별시</x:v>
      </x:c>
      <x:c r="C11" s="40" t="str">
        <x:v>국립</x:v>
      </x:c>
      <x:c r="D11" s="40" t="str">
        <x:v>서울과학기술대학교</x:v>
      </x:c>
      <x:c r="E11" s="40" t="str">
        <x:v>가</x:v>
      </x:c>
      <x:c r="F11" s="40" t="str">
        <x:v>수능위주(일반전형)</x:v>
      </x:c>
      <x:c r="G11" s="41" t="str">
        <x:v>MSDE학과</x:v>
      </x:c>
      <x:c r="H11" s="40"/>
      <x:c r="I11" s="40"/>
      <x:c r="J11" s="40" t="n">
        <x:v>19</x:v>
      </x:c>
      <x:c r="K11" s="60" t="n">
        <x:v>4.16</x:v>
      </x:c>
      <x:c r="L11" s="40" t="n">
        <x:v>7</x:v>
      </x:c>
      <x:c r="M11" s="60"/>
      <x:c r="N11" s="60" t="n">
        <x:v>930.64</x:v>
      </x:c>
      <x:c r="O11" s="60" t="n">
        <x:v>1000</x:v>
      </x:c>
      <x:c r="P11" s="62"/>
      <x:c r="Q11" s="62"/>
      <x:c r="R11" s="62"/>
      <x:c r="S11" s="62"/>
      <x:c r="T11" s="62"/>
      <x:c r="U11" s="62"/>
      <x:c r="V11" s="60" t="n">
        <x:v>86.33</x:v>
      </x:c>
      <x:c r="W11" s="60" t="str">
        <x:f>IF(COUNT(P11:S11)&gt;=3,AVERAGE(P11:S11),"")</x:f>
      </x:c>
      <x:c r="X11" s="60" t="n">
        <x:f>IF(V11&lt;&gt;"",V11,W11)</x:f>
        <x:v>86.33</x:v>
      </x:c>
      <x:c r="Y11" s="40" t="str">
        <x:f>IF(V11&lt;&gt;"","공식 70% 평균백분위",IF(W11&lt;&gt;"","파생 단순평균(참고)","비교불가"))</x:f>
        <x:v>공식 70% 평균백분위</x:v>
      </x:c>
      <x:c r="Z11" s="60" t="n">
        <x:f>'추천_테스트'!$B$8</x:f>
        <x:v>80</x:v>
      </x:c>
      <x:c r="AA11" s="60" t="n">
        <x:f>IF(X11="","",Z11-X11)</x:f>
        <x:v>-6.329999999999998</x:v>
      </x:c>
      <x:c r="AB11" s="40" t="str">
        <x:f>IF(X11="","",IF(AA11&gt;='추천_테스트'!$B$10,"안정",IF(AA11&gt;='추천_테스트'!$B$11,"적정",IF(AA11&gt;='추천_테스트'!$B$12,"소신","상향"))))</x:f>
        <x:v>상향</x:v>
      </x:c>
      <x:c r="AC11" s="62" t="n">
        <x:v>0</x:v>
      </x:c>
      <x:c r="AD11" s="62" t="n">
        <x:v>95</x:v>
      </x:c>
      <x:c r="AE11" s="62" t="n">
        <x:v>5</x:v>
      </x:c>
      <x:c r="AF11" s="41" t="str">
        <x:v>A: 공식 70% 평균백분위 제공</x:v>
      </x:c>
      <x:c r="AG11" s="41" t="str">
        <x:v>https://www.adiga.kr/ucp/uvt/uni/univDetailSelection.do?menuId=PCUVTINF2000&amp;searchSyr=2026&amp;unvCd=0000036</x:v>
      </x:c>
    </x:row>
    <x:row r="12">
      <x:c r="A12" s="40" t="n">
        <x:v>2025</x:v>
      </x:c>
      <x:c r="B12" s="40" t="str">
        <x:v>서울특별시</x:v>
      </x:c>
      <x:c r="C12" s="40" t="str">
        <x:v>국립</x:v>
      </x:c>
      <x:c r="D12" s="40" t="str">
        <x:v>서울과학기술대학교</x:v>
      </x:c>
      <x:c r="E12" s="40" t="str">
        <x:v>가</x:v>
      </x:c>
      <x:c r="F12" s="40" t="str">
        <x:v>수능위주(일반전형)</x:v>
      </x:c>
      <x:c r="G12" s="41" t="str">
        <x:v>산업공학과 ITM전공(자연)</x:v>
      </x:c>
      <x:c r="H12" s="40"/>
      <x:c r="I12" s="40"/>
      <x:c r="J12" s="40" t="n">
        <x:v>6</x:v>
      </x:c>
      <x:c r="K12" s="60" t="n">
        <x:v>5.67</x:v>
      </x:c>
      <x:c r="L12" s="40" t="n">
        <x:v>2</x:v>
      </x:c>
      <x:c r="M12" s="60"/>
      <x:c r="N12" s="60" t="n">
        <x:v>927.94</x:v>
      </x:c>
      <x:c r="O12" s="60" t="n">
        <x:v>1000</x:v>
      </x:c>
      <x:c r="P12" s="62"/>
      <x:c r="Q12" s="62"/>
      <x:c r="R12" s="62"/>
      <x:c r="S12" s="62"/>
      <x:c r="T12" s="62"/>
      <x:c r="U12" s="62"/>
      <x:c r="V12" s="60" t="n">
        <x:v>85.83</x:v>
      </x:c>
      <x:c r="W12" s="60" t="str">
        <x:f>IF(COUNT(P12:S12)&gt;=3,AVERAGE(P12:S12),"")</x:f>
      </x:c>
      <x:c r="X12" s="60" t="n">
        <x:f>IF(V12&lt;&gt;"",V12,W12)</x:f>
        <x:v>85.83</x:v>
      </x:c>
      <x:c r="Y12" s="40" t="str">
        <x:f>IF(V12&lt;&gt;"","공식 70% 평균백분위",IF(W12&lt;&gt;"","파생 단순평균(참고)","비교불가"))</x:f>
        <x:v>공식 70% 평균백분위</x:v>
      </x:c>
      <x:c r="Z12" s="60" t="n">
        <x:f>'추천_테스트'!$B$8</x:f>
        <x:v>80</x:v>
      </x:c>
      <x:c r="AA12" s="60" t="n">
        <x:f>IF(X12="","",Z12-X12)</x:f>
        <x:v>-5.829999999999998</x:v>
      </x:c>
      <x:c r="AB12" s="40" t="str">
        <x:f>IF(X12="","",IF(AA12&gt;='추천_테스트'!$B$10,"안정",IF(AA12&gt;='추천_테스트'!$B$11,"적정",IF(AA12&gt;='추천_테스트'!$B$12,"소신","상향"))))</x:f>
        <x:v>상향</x:v>
      </x:c>
      <x:c r="AC12" s="62" t="n">
        <x:v>0</x:v>
      </x:c>
      <x:c r="AD12" s="62" t="n">
        <x:v>100</x:v>
      </x:c>
      <x:c r="AE12" s="62" t="n">
        <x:v>0</x:v>
      </x:c>
      <x:c r="AF12" s="41" t="str">
        <x:v>A: 공식 70% 평균백분위 제공</x:v>
      </x:c>
      <x:c r="AG12" s="41" t="str">
        <x:v>https://www.adiga.kr/ucp/uvt/uni/univDetailSelection.do?menuId=PCUVTINF2000&amp;searchSyr=2026&amp;unvCd=0000036</x:v>
      </x:c>
    </x:row>
    <x:row r="13">
      <x:c r="A13" s="40" t="n">
        <x:v>2025</x:v>
      </x:c>
      <x:c r="B13" s="40" t="str">
        <x:v>서울특별시</x:v>
      </x:c>
      <x:c r="C13" s="40" t="str">
        <x:v>국립</x:v>
      </x:c>
      <x:c r="D13" s="40" t="str">
        <x:v>서울과학기술대학교</x:v>
      </x:c>
      <x:c r="E13" s="40" t="str">
        <x:v>가</x:v>
      </x:c>
      <x:c r="F13" s="40" t="str">
        <x:v>수능위주(일반전형)</x:v>
      </x:c>
      <x:c r="G13" s="41" t="str">
        <x:v>경영학과(글로벌테크노경영전공)_자연</x:v>
      </x:c>
      <x:c r="H13" s="40"/>
      <x:c r="I13" s="40"/>
      <x:c r="J13" s="40" t="n">
        <x:v>3</x:v>
      </x:c>
      <x:c r="K13" s="60" t="n">
        <x:v>7.67</x:v>
      </x:c>
      <x:c r="L13" s="40" t="n">
        <x:v>1</x:v>
      </x:c>
      <x:c r="M13" s="60"/>
      <x:c r="N13" s="60" t="n">
        <x:v>911.21</x:v>
      </x:c>
      <x:c r="O13" s="60" t="n">
        <x:v>1000</x:v>
      </x:c>
      <x:c r="P13" s="62"/>
      <x:c r="Q13" s="62"/>
      <x:c r="R13" s="62"/>
      <x:c r="S13" s="62"/>
      <x:c r="T13" s="62"/>
      <x:c r="U13" s="62"/>
      <x:c r="V13" s="60" t="n">
        <x:v>86.83</x:v>
      </x:c>
      <x:c r="W13" s="60" t="str">
        <x:f>IF(COUNT(P13:S13)&gt;=3,AVERAGE(P13:S13),"")</x:f>
      </x:c>
      <x:c r="X13" s="60" t="n">
        <x:f>IF(V13&lt;&gt;"",V13,W13)</x:f>
        <x:v>86.83</x:v>
      </x:c>
      <x:c r="Y13" s="40" t="str">
        <x:f>IF(V13&lt;&gt;"","공식 70% 평균백분위",IF(W13&lt;&gt;"","파생 단순평균(참고)","비교불가"))</x:f>
        <x:v>공식 70% 평균백분위</x:v>
      </x:c>
      <x:c r="Z13" s="60" t="n">
        <x:f>'추천_테스트'!$B$8</x:f>
        <x:v>80</x:v>
      </x:c>
      <x:c r="AA13" s="60" t="n">
        <x:f>IF(X13="","",Z13-X13)</x:f>
        <x:v>-6.829999999999998</x:v>
      </x:c>
      <x:c r="AB13" s="40" t="str">
        <x:f>IF(X13="","",IF(AA13&gt;='추천_테스트'!$B$10,"안정",IF(AA13&gt;='추천_테스트'!$B$11,"적정",IF(AA13&gt;='추천_테스트'!$B$12,"소신","상향"))))</x:f>
        <x:v>상향</x:v>
      </x:c>
      <x:c r="AC13" s="62" t="n">
        <x:v>0</x:v>
      </x:c>
      <x:c r="AD13" s="62" t="n">
        <x:v>100</x:v>
      </x:c>
      <x:c r="AE13" s="62" t="n">
        <x:v>0</x:v>
      </x:c>
      <x:c r="AF13" s="41" t="str">
        <x:v>A: 공식 70% 평균백분위 제공</x:v>
      </x:c>
      <x:c r="AG13" s="41" t="str">
        <x:v>https://www.adiga.kr/ucp/uvt/uni/univDetailSelection.do?menuId=PCUVTINF2000&amp;searchSyr=2026&amp;unvCd=0000036</x:v>
      </x:c>
    </x:row>
    <x:row r="14">
      <x:c r="A14" s="40" t="n">
        <x:v>2025</x:v>
      </x:c>
      <x:c r="B14" s="40" t="str">
        <x:v>서울특별시</x:v>
      </x:c>
      <x:c r="C14" s="40" t="str">
        <x:v>국립</x:v>
      </x:c>
      <x:c r="D14" s="40" t="str">
        <x:v>서울과학기술대학교</x:v>
      </x:c>
      <x:c r="E14" s="40" t="str">
        <x:v>가</x:v>
      </x:c>
      <x:c r="F14" s="40" t="str">
        <x:v>수능위주(일반전형)</x:v>
      </x:c>
      <x:c r="G14" s="41" t="str">
        <x:v>영어영문학과</x:v>
      </x:c>
      <x:c r="H14" s="40"/>
      <x:c r="I14" s="40"/>
      <x:c r="J14" s="40" t="n">
        <x:v>6</x:v>
      </x:c>
      <x:c r="K14" s="60" t="n">
        <x:v>5.33</x:v>
      </x:c>
      <x:c r="L14" s="40" t="n">
        <x:v>5</x:v>
      </x:c>
      <x:c r="M14" s="60"/>
      <x:c r="N14" s="60" t="n">
        <x:v>913.39</x:v>
      </x:c>
      <x:c r="O14" s="60" t="n">
        <x:v>1000</x:v>
      </x:c>
      <x:c r="P14" s="62"/>
      <x:c r="Q14" s="62"/>
      <x:c r="R14" s="62"/>
      <x:c r="S14" s="62"/>
      <x:c r="T14" s="62"/>
      <x:c r="U14" s="62"/>
      <x:c r="V14" s="60" t="n">
        <x:v>83.17</x:v>
      </x:c>
      <x:c r="W14" s="60" t="str">
        <x:f>IF(COUNT(P14:S14)&gt;=3,AVERAGE(P14:S14),"")</x:f>
      </x:c>
      <x:c r="X14" s="60" t="n">
        <x:f>IF(V14&lt;&gt;"",V14,W14)</x:f>
        <x:v>83.17</x:v>
      </x:c>
      <x:c r="Y14" s="40" t="str">
        <x:f>IF(V14&lt;&gt;"","공식 70% 평균백분위",IF(W14&lt;&gt;"","파생 단순평균(참고)","비교불가"))</x:f>
        <x:v>공식 70% 평균백분위</x:v>
      </x:c>
      <x:c r="Z14" s="60" t="n">
        <x:f>'추천_테스트'!$B$8</x:f>
        <x:v>80</x:v>
      </x:c>
      <x:c r="AA14" s="60" t="n">
        <x:f>IF(X14="","",Z14-X14)</x:f>
        <x:v>-3.1700000000000017</x:v>
      </x:c>
      <x:c r="AB14" s="40" t="str">
        <x:f>IF(X14="","",IF(AA14&gt;='추천_테스트'!$B$10,"안정",IF(AA14&gt;='추천_테스트'!$B$11,"적정",IF(AA14&gt;='추천_테스트'!$B$12,"소신","상향"))))</x:f>
        <x:v>상향</x:v>
      </x:c>
      <x:c r="AC14" s="62" t="n">
        <x:v>67</x:v>
      </x:c>
      <x:c r="AD14" s="62" t="n">
        <x:v>17</x:v>
      </x:c>
      <x:c r="AE14" s="62" t="n">
        <x:v>17</x:v>
      </x:c>
      <x:c r="AF14" s="41" t="str">
        <x:v>A: 공식 70% 평균백분위 제공</x:v>
      </x:c>
      <x:c r="AG14" s="41" t="str">
        <x:v>https://www.adiga.kr/ucp/uvt/uni/univDetailSelection.do?menuId=PCUVTINF2000&amp;searchSyr=2026&amp;unvCd=0000036</x:v>
      </x:c>
    </x:row>
    <x:row r="15">
      <x:c r="A15" s="40" t="n">
        <x:v>2025</x:v>
      </x:c>
      <x:c r="B15" s="40" t="str">
        <x:v>서울특별시</x:v>
      </x:c>
      <x:c r="C15" s="40" t="str">
        <x:v>국립</x:v>
      </x:c>
      <x:c r="D15" s="40" t="str">
        <x:v>서울과학기술대학교</x:v>
      </x:c>
      <x:c r="E15" s="40" t="str">
        <x:v>가</x:v>
      </x:c>
      <x:c r="F15" s="40" t="str">
        <x:v>수능위주(일반전형)</x:v>
      </x:c>
      <x:c r="G15" s="41" t="str">
        <x:v>문예창작학과</x:v>
      </x:c>
      <x:c r="H15" s="40"/>
      <x:c r="I15" s="40"/>
      <x:c r="J15" s="40" t="n">
        <x:v>16</x:v>
      </x:c>
      <x:c r="K15" s="60" t="n">
        <x:v>7.69</x:v>
      </x:c>
      <x:c r="L15" s="40" t="n">
        <x:v>12</x:v>
      </x:c>
      <x:c r="M15" s="60"/>
      <x:c r="N15" s="60" t="n">
        <x:v>948.71</x:v>
      </x:c>
      <x:c r="O15" s="60" t="n">
        <x:v>1000</x:v>
      </x:c>
      <x:c r="P15" s="62"/>
      <x:c r="Q15" s="62"/>
      <x:c r="R15" s="62"/>
      <x:c r="S15" s="62"/>
      <x:c r="T15" s="62"/>
      <x:c r="U15" s="62"/>
      <x:c r="V15" s="60" t="n">
        <x:v>87.75</x:v>
      </x:c>
      <x:c r="W15" s="60" t="str">
        <x:f>IF(COUNT(P15:S15)&gt;=3,AVERAGE(P15:S15),"")</x:f>
      </x:c>
      <x:c r="X15" s="60" t="n">
        <x:f>IF(V15&lt;&gt;"",V15,W15)</x:f>
        <x:v>87.75</x:v>
      </x:c>
      <x:c r="Y15" s="40" t="str">
        <x:f>IF(V15&lt;&gt;"","공식 70% 평균백분위",IF(W15&lt;&gt;"","파생 단순평균(참고)","비교불가"))</x:f>
        <x:v>공식 70% 평균백분위</x:v>
      </x:c>
      <x:c r="Z15" s="60" t="n">
        <x:f>'추천_테스트'!$B$8</x:f>
        <x:v>80</x:v>
      </x:c>
      <x:c r="AA15" s="60" t="n">
        <x:f>IF(X15="","",Z15-X15)</x:f>
        <x:v>-7.75</x:v>
      </x:c>
      <x:c r="AB15" s="40" t="str">
        <x:f>IF(X15="","",IF(AA15&gt;='추천_테스트'!$B$10,"안정",IF(AA15&gt;='추천_테스트'!$B$11,"적정",IF(AA15&gt;='추천_테스트'!$B$12,"소신","상향"))))</x:f>
        <x:v>상향</x:v>
      </x:c>
      <x:c r="AC15" s="62" t="n">
        <x:v>94</x:v>
      </x:c>
      <x:c r="AD15" s="62" t="n">
        <x:v>6</x:v>
      </x:c>
      <x:c r="AE15" s="62" t="n">
        <x:v>0</x:v>
      </x:c>
      <x:c r="AF15" s="41" t="str">
        <x:v>A: 공식 70% 평균백분위 제공</x:v>
      </x:c>
      <x:c r="AG15" s="41" t="str">
        <x:v>https://www.adiga.kr/ucp/uvt/uni/univDetailSelection.do?menuId=PCUVTINF2000&amp;searchSyr=2026&amp;unvCd=0000036</x:v>
      </x:c>
    </x:row>
    <x:row r="16">
      <x:c r="A16" s="40" t="n">
        <x:v>2025</x:v>
      </x:c>
      <x:c r="B16" s="40" t="str">
        <x:v>서울특별시</x:v>
      </x:c>
      <x:c r="C16" s="40" t="str">
        <x:v>국립</x:v>
      </x:c>
      <x:c r="D16" s="40" t="str">
        <x:v>서울과학기술대학교</x:v>
      </x:c>
      <x:c r="E16" s="40" t="str">
        <x:v>가</x:v>
      </x:c>
      <x:c r="F16" s="40" t="str">
        <x:v>수능위주(일반전형)</x:v>
      </x:c>
      <x:c r="G16" s="41" t="str">
        <x:v>산업공학과 ITM전공(인문)</x:v>
      </x:c>
      <x:c r="H16" s="40"/>
      <x:c r="I16" s="40"/>
      <x:c r="J16" s="40" t="n">
        <x:v>2</x:v>
      </x:c>
      <x:c r="K16" s="60" t="n">
        <x:v>12.5</x:v>
      </x:c>
      <x:c r="L16" s="40" t="n">
        <x:v>2</x:v>
      </x:c>
      <x:c r="M16" s="60"/>
      <x:c r="N16" s="60" t="n">
        <x:v>936.09</x:v>
      </x:c>
      <x:c r="O16" s="60" t="n">
        <x:v>1000</x:v>
      </x:c>
      <x:c r="P16" s="62"/>
      <x:c r="Q16" s="62"/>
      <x:c r="R16" s="62"/>
      <x:c r="S16" s="62"/>
      <x:c r="T16" s="62"/>
      <x:c r="U16" s="62"/>
      <x:c r="V16" s="60" t="n">
        <x:v>87</x:v>
      </x:c>
      <x:c r="W16" s="60" t="str">
        <x:f>IF(COUNT(P16:S16)&gt;=3,AVERAGE(P16:S16),"")</x:f>
      </x:c>
      <x:c r="X16" s="60" t="n">
        <x:f>IF(V16&lt;&gt;"",V16,W16)</x:f>
        <x:v>87</x:v>
      </x:c>
      <x:c r="Y16" s="40" t="str">
        <x:f>IF(V16&lt;&gt;"","공식 70% 평균백분위",IF(W16&lt;&gt;"","파생 단순평균(참고)","비교불가"))</x:f>
        <x:v>공식 70% 평균백분위</x:v>
      </x:c>
      <x:c r="Z16" s="60" t="n">
        <x:f>'추천_테스트'!$B$8</x:f>
        <x:v>80</x:v>
      </x:c>
      <x:c r="AA16" s="60" t="n">
        <x:f>IF(X16="","",Z16-X16)</x:f>
        <x:v>-7</x:v>
      </x:c>
      <x:c r="AB16" s="40" t="str">
        <x:f>IF(X16="","",IF(AA16&gt;='추천_테스트'!$B$10,"안정",IF(AA16&gt;='추천_테스트'!$B$11,"적정",IF(AA16&gt;='추천_테스트'!$B$12,"소신","상향"))))</x:f>
        <x:v>상향</x:v>
      </x:c>
      <x:c r="AC16" s="62" t="n">
        <x:v>50</x:v>
      </x:c>
      <x:c r="AD16" s="62" t="n">
        <x:v>0</x:v>
      </x:c>
      <x:c r="AE16" s="62" t="n">
        <x:v>50</x:v>
      </x:c>
      <x:c r="AF16" s="41" t="str">
        <x:v>A: 공식 70% 평균백분위 제공</x:v>
      </x:c>
      <x:c r="AG16" s="41" t="str">
        <x:v>https://www.adiga.kr/ucp/uvt/uni/univDetailSelection.do?menuId=PCUVTINF2000&amp;searchSyr=2026&amp;unvCd=0000036</x:v>
      </x:c>
    </x:row>
    <x:row r="17">
      <x:c r="A17" s="40" t="n">
        <x:v>2025</x:v>
      </x:c>
      <x:c r="B17" s="40" t="str">
        <x:v>서울특별시</x:v>
      </x:c>
      <x:c r="C17" s="40" t="str">
        <x:v>국립</x:v>
      </x:c>
      <x:c r="D17" s="40" t="str">
        <x:v>서울과학기술대학교</x:v>
      </x:c>
      <x:c r="E17" s="40" t="str">
        <x:v>가</x:v>
      </x:c>
      <x:c r="F17" s="40" t="str">
        <x:v>수능위주(일반전형)</x:v>
      </x:c>
      <x:c r="G17" s="41" t="str">
        <x:v>경영학과(경영학전공)</x:v>
      </x:c>
      <x:c r="H17" s="40"/>
      <x:c r="I17" s="40"/>
      <x:c r="J17" s="40" t="n">
        <x:v>10</x:v>
      </x:c>
      <x:c r="K17" s="60" t="n">
        <x:v>5.5</x:v>
      </x:c>
      <x:c r="L17" s="40" t="n">
        <x:v>3</x:v>
      </x:c>
      <x:c r="M17" s="60"/>
      <x:c r="N17" s="60" t="n">
        <x:v>915.82</x:v>
      </x:c>
      <x:c r="O17" s="60" t="n">
        <x:v>1000</x:v>
      </x:c>
      <x:c r="P17" s="62"/>
      <x:c r="Q17" s="62"/>
      <x:c r="R17" s="62"/>
      <x:c r="S17" s="62"/>
      <x:c r="T17" s="62"/>
      <x:c r="U17" s="62"/>
      <x:c r="V17" s="60" t="n">
        <x:v>82.17</x:v>
      </x:c>
      <x:c r="W17" s="60" t="str">
        <x:f>IF(COUNT(P17:S17)&gt;=3,AVERAGE(P17:S17),"")</x:f>
      </x:c>
      <x:c r="X17" s="60" t="n">
        <x:f>IF(V17&lt;&gt;"",V17,W17)</x:f>
        <x:v>82.17</x:v>
      </x:c>
      <x:c r="Y17" s="40" t="str">
        <x:f>IF(V17&lt;&gt;"","공식 70% 평균백분위",IF(W17&lt;&gt;"","파생 단순평균(참고)","비교불가"))</x:f>
        <x:v>공식 70% 평균백분위</x:v>
      </x:c>
      <x:c r="Z17" s="60" t="n">
        <x:f>'추천_테스트'!$B$8</x:f>
        <x:v>80</x:v>
      </x:c>
      <x:c r="AA17" s="60" t="n">
        <x:f>IF(X17="","",Z17-X17)</x:f>
        <x:v>-2.1700000000000017</x:v>
      </x:c>
      <x:c r="AB17" s="40" t="str">
        <x:f>IF(X17="","",IF(AA17&gt;='추천_테스트'!$B$10,"안정",IF(AA17&gt;='추천_테스트'!$B$11,"적정",IF(AA17&gt;='추천_테스트'!$B$12,"소신","상향"))))</x:f>
        <x:v>상향</x:v>
      </x:c>
      <x:c r="AC17" s="62" t="n">
        <x:v>90</x:v>
      </x:c>
      <x:c r="AD17" s="62" t="n">
        <x:v>10</x:v>
      </x:c>
      <x:c r="AE17" s="62" t="n">
        <x:v>0</x:v>
      </x:c>
      <x:c r="AF17" s="41" t="str">
        <x:v>A: 공식 70% 평균백분위 제공</x:v>
      </x:c>
      <x:c r="AG17" s="41" t="str">
        <x:v>https://www.adiga.kr/ucp/uvt/uni/univDetailSelection.do?menuId=PCUVTINF2000&amp;searchSyr=2026&amp;unvCd=0000036</x:v>
      </x:c>
    </x:row>
    <x:row r="18">
      <x:c r="A18" s="40" t="n">
        <x:v>2025</x:v>
      </x:c>
      <x:c r="B18" s="40" t="str">
        <x:v>서울특별시</x:v>
      </x:c>
      <x:c r="C18" s="40" t="str">
        <x:v>국립</x:v>
      </x:c>
      <x:c r="D18" s="40" t="str">
        <x:v>서울과학기술대학교</x:v>
      </x:c>
      <x:c r="E18" s="40" t="str">
        <x:v>가</x:v>
      </x:c>
      <x:c r="F18" s="40" t="str">
        <x:v>수능위주(일반전형)</x:v>
      </x:c>
      <x:c r="G18" s="41" t="str">
        <x:v>경영학과(글로벌테크노경영전공)_인문</x:v>
      </x:c>
      <x:c r="H18" s="40"/>
      <x:c r="I18" s="40"/>
      <x:c r="J18" s="40" t="n">
        <x:v>8</x:v>
      </x:c>
      <x:c r="K18" s="60" t="n">
        <x:v>5.38</x:v>
      </x:c>
      <x:c r="L18" s="40" t="n">
        <x:v>1</x:v>
      </x:c>
      <x:c r="M18" s="60"/>
      <x:c r="N18" s="60" t="n">
        <x:v>919.96</x:v>
      </x:c>
      <x:c r="O18" s="60" t="n">
        <x:v>1000</x:v>
      </x:c>
      <x:c r="P18" s="62"/>
      <x:c r="Q18" s="62"/>
      <x:c r="R18" s="62"/>
      <x:c r="S18" s="62"/>
      <x:c r="T18" s="62"/>
      <x:c r="U18" s="62"/>
      <x:c r="V18" s="60" t="n">
        <x:v>84</x:v>
      </x:c>
      <x:c r="W18" s="60" t="str">
        <x:f>IF(COUNT(P18:S18)&gt;=3,AVERAGE(P18:S18),"")</x:f>
      </x:c>
      <x:c r="X18" s="60" t="n">
        <x:f>IF(V18&lt;&gt;"",V18,W18)</x:f>
        <x:v>84</x:v>
      </x:c>
      <x:c r="Y18" s="40" t="str">
        <x:f>IF(V18&lt;&gt;"","공식 70% 평균백분위",IF(W18&lt;&gt;"","파생 단순평균(참고)","비교불가"))</x:f>
        <x:v>공식 70% 평균백분위</x:v>
      </x:c>
      <x:c r="Z18" s="60" t="n">
        <x:f>'추천_테스트'!$B$8</x:f>
        <x:v>80</x:v>
      </x:c>
      <x:c r="AA18" s="60" t="n">
        <x:f>IF(X18="","",Z18-X18)</x:f>
        <x:v>-4</x:v>
      </x:c>
      <x:c r="AB18" s="40" t="str">
        <x:f>IF(X18="","",IF(AA18&gt;='추천_테스트'!$B$10,"안정",IF(AA18&gt;='추천_테스트'!$B$11,"적정",IF(AA18&gt;='추천_테스트'!$B$12,"소신","상향"))))</x:f>
        <x:v>상향</x:v>
      </x:c>
      <x:c r="AC18" s="62" t="n">
        <x:v>43</x:v>
      </x:c>
      <x:c r="AD18" s="62" t="n">
        <x:v>57</x:v>
      </x:c>
      <x:c r="AE18" s="62" t="n">
        <x:v>0</x:v>
      </x:c>
      <x:c r="AF18" s="41" t="str">
        <x:v>A: 공식 70% 평균백분위 제공</x:v>
      </x:c>
      <x:c r="AG18" s="41" t="str">
        <x:v>https://www.adiga.kr/ucp/uvt/uni/univDetailSelection.do?menuId=PCUVTINF2000&amp;searchSyr=2026&amp;unvCd=0000036</x:v>
      </x:c>
    </x:row>
    <x:row r="19">
      <x:c r="A19" s="40" t="n">
        <x:v>2025</x:v>
      </x:c>
      <x:c r="B19" s="40" t="str">
        <x:v>서울특별시</x:v>
      </x:c>
      <x:c r="C19" s="40" t="str">
        <x:v>국립</x:v>
      </x:c>
      <x:c r="D19" s="40" t="str">
        <x:v>서울과학기술대학교</x:v>
      </x:c>
      <x:c r="E19" s="40" t="str">
        <x:v>나</x:v>
      </x:c>
      <x:c r="F19" s="40" t="str">
        <x:v>수능위주(일반전형)</x:v>
      </x:c>
      <x:c r="G19" s="41" t="str">
        <x:v>기계・자동차공학과</x:v>
      </x:c>
      <x:c r="H19" s="40"/>
      <x:c r="I19" s="40"/>
      <x:c r="J19" s="40" t="n">
        <x:v>45</x:v>
      </x:c>
      <x:c r="K19" s="60" t="n">
        <x:v>5.31</x:v>
      </x:c>
      <x:c r="L19" s="40" t="n">
        <x:v>31</x:v>
      </x:c>
      <x:c r="M19" s="60"/>
      <x:c r="N19" s="60" t="n">
        <x:v>911.27</x:v>
      </x:c>
      <x:c r="O19" s="60" t="n">
        <x:v>1000</x:v>
      </x:c>
      <x:c r="P19" s="62"/>
      <x:c r="Q19" s="62"/>
      <x:c r="R19" s="62"/>
      <x:c r="S19" s="62"/>
      <x:c r="T19" s="62"/>
      <x:c r="U19" s="62"/>
      <x:c r="V19" s="60" t="n">
        <x:v>84.67</x:v>
      </x:c>
      <x:c r="W19" s="60" t="str">
        <x:f>IF(COUNT(P19:S19)&gt;=3,AVERAGE(P19:S19),"")</x:f>
      </x:c>
      <x:c r="X19" s="60" t="n">
        <x:f>IF(V19&lt;&gt;"",V19,W19)</x:f>
        <x:v>84.67</x:v>
      </x:c>
      <x:c r="Y19" s="40" t="str">
        <x:f>IF(V19&lt;&gt;"","공식 70% 평균백분위",IF(W19&lt;&gt;"","파생 단순평균(참고)","비교불가"))</x:f>
        <x:v>공식 70% 평균백분위</x:v>
      </x:c>
      <x:c r="Z19" s="60" t="n">
        <x:f>'추천_테스트'!$B$8</x:f>
        <x:v>80</x:v>
      </x:c>
      <x:c r="AA19" s="60" t="n">
        <x:f>IF(X19="","",Z19-X19)</x:f>
        <x:v>-4.670000000000002</x:v>
      </x:c>
      <x:c r="AB19" s="40" t="str">
        <x:f>IF(X19="","",IF(AA19&gt;='추천_테스트'!$B$10,"안정",IF(AA19&gt;='추천_테스트'!$B$11,"적정",IF(AA19&gt;='추천_테스트'!$B$12,"소신","상향"))))</x:f>
        <x:v>상향</x:v>
      </x:c>
      <x:c r="AC19" s="62" t="n">
        <x:v>2</x:v>
      </x:c>
      <x:c r="AD19" s="62" t="n">
        <x:v>89</x:v>
      </x:c>
      <x:c r="AE19" s="62" t="n">
        <x:v>9</x:v>
      </x:c>
      <x:c r="AF19" s="41" t="str">
        <x:v>A: 공식 70% 평균백분위 제공</x:v>
      </x:c>
      <x:c r="AG19" s="41" t="str">
        <x:v>https://www.adiga.kr/ucp/uvt/uni/univDetailSelection.do?menuId=PCUVTINF2000&amp;searchSyr=2026&amp;unvCd=0000036</x:v>
      </x:c>
    </x:row>
    <x:row r="20">
      <x:c r="A20" s="40" t="n">
        <x:v>2025</x:v>
      </x:c>
      <x:c r="B20" s="40" t="str">
        <x:v>서울특별시</x:v>
      </x:c>
      <x:c r="C20" s="40" t="str">
        <x:v>국립</x:v>
      </x:c>
      <x:c r="D20" s="40" t="str">
        <x:v>서울과학기술대학교</x:v>
      </x:c>
      <x:c r="E20" s="40" t="str">
        <x:v>나</x:v>
      </x:c>
      <x:c r="F20" s="40" t="str">
        <x:v>수능위주(일반전형)</x:v>
      </x:c>
      <x:c r="G20" s="41" t="str">
        <x:v>건축학부건축공학전공</x:v>
      </x:c>
      <x:c r="H20" s="40"/>
      <x:c r="I20" s="40"/>
      <x:c r="J20" s="40" t="n">
        <x:v>17</x:v>
      </x:c>
      <x:c r="K20" s="60" t="n">
        <x:v>6.94</x:v>
      </x:c>
      <x:c r="L20" s="40" t="n">
        <x:v>13</x:v>
      </x:c>
      <x:c r="M20" s="60"/>
      <x:c r="N20" s="60" t="n">
        <x:v>907.02</x:v>
      </x:c>
      <x:c r="O20" s="60" t="n">
        <x:v>1000</x:v>
      </x:c>
      <x:c r="P20" s="62"/>
      <x:c r="Q20" s="62"/>
      <x:c r="R20" s="62"/>
      <x:c r="S20" s="62"/>
      <x:c r="T20" s="62"/>
      <x:c r="U20" s="62"/>
      <x:c r="V20" s="60" t="n">
        <x:v>82</x:v>
      </x:c>
      <x:c r="W20" s="60" t="str">
        <x:f>IF(COUNT(P20:S20)&gt;=3,AVERAGE(P20:S20),"")</x:f>
      </x:c>
      <x:c r="X20" s="60" t="n">
        <x:f>IF(V20&lt;&gt;"",V20,W20)</x:f>
        <x:v>82</x:v>
      </x:c>
      <x:c r="Y20" s="40" t="str">
        <x:f>IF(V20&lt;&gt;"","공식 70% 평균백분위",IF(W20&lt;&gt;"","파생 단순평균(참고)","비교불가"))</x:f>
        <x:v>공식 70% 평균백분위</x:v>
      </x:c>
      <x:c r="Z20" s="60" t="n">
        <x:f>'추천_테스트'!$B$8</x:f>
        <x:v>80</x:v>
      </x:c>
      <x:c r="AA20" s="60" t="n">
        <x:f>IF(X20="","",Z20-X20)</x:f>
        <x:v>-2</x:v>
      </x:c>
      <x:c r="AB20" s="40" t="str">
        <x:f>IF(X20="","",IF(AA20&gt;='추천_테스트'!$B$10,"안정",IF(AA20&gt;='추천_테스트'!$B$11,"적정",IF(AA20&gt;='추천_테스트'!$B$12,"소신","상향"))))</x:f>
        <x:v>소신</x:v>
      </x:c>
      <x:c r="AC20" s="62" t="n">
        <x:v>6</x:v>
      </x:c>
      <x:c r="AD20" s="62" t="n">
        <x:v>88</x:v>
      </x:c>
      <x:c r="AE20" s="62" t="n">
        <x:v>6</x:v>
      </x:c>
      <x:c r="AF20" s="41" t="str">
        <x:v>A: 공식 70% 평균백분위 제공</x:v>
      </x:c>
      <x:c r="AG20" s="41" t="str">
        <x:v>https://www.adiga.kr/ucp/uvt/uni/univDetailSelection.do?menuId=PCUVTINF2000&amp;searchSyr=2026&amp;unvCd=0000036</x:v>
      </x:c>
    </x:row>
    <x:row r="21">
      <x:c r="A21" s="40" t="n">
        <x:v>2025</x:v>
      </x:c>
      <x:c r="B21" s="40" t="str">
        <x:v>서울특별시</x:v>
      </x:c>
      <x:c r="C21" s="40" t="str">
        <x:v>국립</x:v>
      </x:c>
      <x:c r="D21" s="40" t="str">
        <x:v>서울과학기술대학교</x:v>
      </x:c>
      <x:c r="E21" s="40" t="str">
        <x:v>나</x:v>
      </x:c>
      <x:c r="F21" s="40" t="str">
        <x:v>수능위주(일반전형)</x:v>
      </x:c>
      <x:c r="G21" s="41" t="str">
        <x:v>건축학부건축학전공</x:v>
      </x:c>
      <x:c r="H21" s="40"/>
      <x:c r="I21" s="40"/>
      <x:c r="J21" s="40" t="n">
        <x:v>13</x:v>
      </x:c>
      <x:c r="K21" s="60" t="n">
        <x:v>4.69</x:v>
      </x:c>
      <x:c r="L21" s="40" t="n">
        <x:v>13</x:v>
      </x:c>
      <x:c r="M21" s="60"/>
      <x:c r="N21" s="60" t="n">
        <x:v>911.16</x:v>
      </x:c>
      <x:c r="O21" s="60" t="n">
        <x:v>1000</x:v>
      </x:c>
      <x:c r="P21" s="62"/>
      <x:c r="Q21" s="62"/>
      <x:c r="R21" s="62"/>
      <x:c r="S21" s="62"/>
      <x:c r="T21" s="62"/>
      <x:c r="U21" s="62"/>
      <x:c r="V21" s="60" t="n">
        <x:v>84.17</x:v>
      </x:c>
      <x:c r="W21" s="60" t="str">
        <x:f>IF(COUNT(P21:S21)&gt;=3,AVERAGE(P21:S21),"")</x:f>
      </x:c>
      <x:c r="X21" s="60" t="n">
        <x:f>IF(V21&lt;&gt;"",V21,W21)</x:f>
        <x:v>84.17</x:v>
      </x:c>
      <x:c r="Y21" s="40" t="str">
        <x:f>IF(V21&lt;&gt;"","공식 70% 평균백분위",IF(W21&lt;&gt;"","파생 단순평균(참고)","비교불가"))</x:f>
        <x:v>공식 70% 평균백분위</x:v>
      </x:c>
      <x:c r="Z21" s="60" t="n">
        <x:f>'추천_테스트'!$B$8</x:f>
        <x:v>80</x:v>
      </x:c>
      <x:c r="AA21" s="60" t="n">
        <x:f>IF(X21="","",Z21-X21)</x:f>
        <x:v>-4.170000000000002</x:v>
      </x:c>
      <x:c r="AB21" s="40" t="str">
        <x:f>IF(X21="","",IF(AA21&gt;='추천_테스트'!$B$10,"안정",IF(AA21&gt;='추천_테스트'!$B$11,"적정",IF(AA21&gt;='추천_테스트'!$B$12,"소신","상향"))))</x:f>
        <x:v>상향</x:v>
      </x:c>
      <x:c r="AC21" s="62" t="n">
        <x:v>0</x:v>
      </x:c>
      <x:c r="AD21" s="62" t="n">
        <x:v>83</x:v>
      </x:c>
      <x:c r="AE21" s="62" t="n">
        <x:v>17</x:v>
      </x:c>
      <x:c r="AF21" s="41" t="str">
        <x:v>A: 공식 70% 평균백분위 제공</x:v>
      </x:c>
      <x:c r="AG21" s="41" t="str">
        <x:v>https://www.adiga.kr/ucp/uvt/uni/univDetailSelection.do?menuId=PCUVTINF2000&amp;searchSyr=2026&amp;unvCd=0000036</x:v>
      </x:c>
    </x:row>
    <x:row r="22">
      <x:c r="A22" s="40" t="n">
        <x:v>2025</x:v>
      </x:c>
      <x:c r="B22" s="40" t="str">
        <x:v>서울특별시</x:v>
      </x:c>
      <x:c r="C22" s="40" t="str">
        <x:v>국립</x:v>
      </x:c>
      <x:c r="D22" s="40" t="str">
        <x:v>서울과학기술대학교</x:v>
      </x:c>
      <x:c r="E22" s="40" t="str">
        <x:v>나</x:v>
      </x:c>
      <x:c r="F22" s="40" t="str">
        <x:v>수능위주(일반전형)</x:v>
      </x:c>
      <x:c r="G22" s="41" t="str">
        <x:v>전자공학과</x:v>
      </x:c>
      <x:c r="H22" s="40"/>
      <x:c r="I22" s="40"/>
      <x:c r="J22" s="40" t="n">
        <x:v>18</x:v>
      </x:c>
      <x:c r="K22" s="60" t="n">
        <x:v>4.78</x:v>
      </x:c>
      <x:c r="L22" s="40" t="n">
        <x:v>18</x:v>
      </x:c>
      <x:c r="M22" s="60"/>
      <x:c r="N22" s="60" t="n">
        <x:v>923.08</x:v>
      </x:c>
      <x:c r="O22" s="60" t="n">
        <x:v>1000</x:v>
      </x:c>
      <x:c r="P22" s="62"/>
      <x:c r="Q22" s="62"/>
      <x:c r="R22" s="62"/>
      <x:c r="S22" s="62"/>
      <x:c r="T22" s="62"/>
      <x:c r="U22" s="62"/>
      <x:c r="V22" s="60" t="n">
        <x:v>85.17</x:v>
      </x:c>
      <x:c r="W22" s="60" t="str">
        <x:f>IF(COUNT(P22:S22)&gt;=3,AVERAGE(P22:S22),"")</x:f>
      </x:c>
      <x:c r="X22" s="60" t="n">
        <x:f>IF(V22&lt;&gt;"",V22,W22)</x:f>
        <x:v>85.17</x:v>
      </x:c>
      <x:c r="Y22" s="40" t="str">
        <x:f>IF(V22&lt;&gt;"","공식 70% 평균백분위",IF(W22&lt;&gt;"","파생 단순평균(참고)","비교불가"))</x:f>
        <x:v>공식 70% 평균백분위</x:v>
      </x:c>
      <x:c r="Z22" s="60" t="n">
        <x:f>'추천_테스트'!$B$8</x:f>
        <x:v>80</x:v>
      </x:c>
      <x:c r="AA22" s="60" t="n">
        <x:f>IF(X22="","",Z22-X22)</x:f>
        <x:v>-5.170000000000002</x:v>
      </x:c>
      <x:c r="AB22" s="40" t="str">
        <x:f>IF(X22="","",IF(AA22&gt;='추천_테스트'!$B$10,"안정",IF(AA22&gt;='추천_테스트'!$B$11,"적정",IF(AA22&gt;='추천_테스트'!$B$12,"소신","상향"))))</x:f>
        <x:v>상향</x:v>
      </x:c>
      <x:c r="AC22" s="62" t="n">
        <x:v>0</x:v>
      </x:c>
      <x:c r="AD22" s="62" t="n">
        <x:v>88</x:v>
      </x:c>
      <x:c r="AE22" s="62" t="n">
        <x:v>13</x:v>
      </x:c>
      <x:c r="AF22" s="41" t="str">
        <x:v>A: 공식 70% 평균백분위 제공</x:v>
      </x:c>
      <x:c r="AG22" s="41" t="str">
        <x:v>https://www.adiga.kr/ucp/uvt/uni/univDetailSelection.do?menuId=PCUVTINF2000&amp;searchSyr=2026&amp;unvCd=0000036</x:v>
      </x:c>
    </x:row>
    <x:row r="23">
      <x:c r="A23" s="40" t="n">
        <x:v>2025</x:v>
      </x:c>
      <x:c r="B23" s="40" t="str">
        <x:v>서울특별시</x:v>
      </x:c>
      <x:c r="C23" s="40" t="str">
        <x:v>국립</x:v>
      </x:c>
      <x:c r="D23" s="40" t="str">
        <x:v>서울과학기술대학교</x:v>
      </x:c>
      <x:c r="E23" s="40" t="str">
        <x:v>나</x:v>
      </x:c>
      <x:c r="F23" s="40" t="str">
        <x:v>수능위주(일반전형)</x:v>
      </x:c>
      <x:c r="G23" s="41" t="str">
        <x:v>스마트 ICT 융합공학과</x:v>
      </x:c>
      <x:c r="H23" s="40"/>
      <x:c r="I23" s="40"/>
      <x:c r="J23" s="40" t="n">
        <x:v>11</x:v>
      </x:c>
      <x:c r="K23" s="60" t="n">
        <x:v>4.36</x:v>
      </x:c>
      <x:c r="L23" s="40" t="n">
        <x:v>14</x:v>
      </x:c>
      <x:c r="M23" s="60"/>
      <x:c r="N23" s="60" t="n">
        <x:v>917.27</x:v>
      </x:c>
      <x:c r="O23" s="60" t="n">
        <x:v>1000</x:v>
      </x:c>
      <x:c r="P23" s="62"/>
      <x:c r="Q23" s="62"/>
      <x:c r="R23" s="62"/>
      <x:c r="S23" s="62"/>
      <x:c r="T23" s="62"/>
      <x:c r="U23" s="62"/>
      <x:c r="V23" s="60" t="n">
        <x:v>85.33</x:v>
      </x:c>
      <x:c r="W23" s="60" t="str">
        <x:f>IF(COUNT(P23:S23)&gt;=3,AVERAGE(P23:S23),"")</x:f>
      </x:c>
      <x:c r="X23" s="60" t="n">
        <x:f>IF(V23&lt;&gt;"",V23,W23)</x:f>
        <x:v>85.33</x:v>
      </x:c>
      <x:c r="Y23" s="40" t="str">
        <x:f>IF(V23&lt;&gt;"","공식 70% 평균백분위",IF(W23&lt;&gt;"","파생 단순평균(참고)","비교불가"))</x:f>
        <x:v>공식 70% 평균백분위</x:v>
      </x:c>
      <x:c r="Z23" s="60" t="n">
        <x:f>'추천_테스트'!$B$8</x:f>
        <x:v>80</x:v>
      </x:c>
      <x:c r="AA23" s="60" t="n">
        <x:f>IF(X23="","",Z23-X23)</x:f>
        <x:v>-5.329999999999998</x:v>
      </x:c>
      <x:c r="AB23" s="40" t="str">
        <x:f>IF(X23="","",IF(AA23&gt;='추천_테스트'!$B$10,"안정",IF(AA23&gt;='추천_테스트'!$B$11,"적정",IF(AA23&gt;='추천_테스트'!$B$12,"소신","상향"))))</x:f>
        <x:v>상향</x:v>
      </x:c>
      <x:c r="AC23" s="62" t="n">
        <x:v>0</x:v>
      </x:c>
      <x:c r="AD23" s="62" t="n">
        <x:v>100</x:v>
      </x:c>
      <x:c r="AE23" s="62" t="n">
        <x:v>0</x:v>
      </x:c>
      <x:c r="AF23" s="41" t="str">
        <x:v>A: 공식 70% 평균백분위 제공</x:v>
      </x:c>
      <x:c r="AG23" s="41" t="str">
        <x:v>https://www.adiga.kr/ucp/uvt/uni/univDetailSelection.do?menuId=PCUVTINF2000&amp;searchSyr=2026&amp;unvCd=0000036</x:v>
      </x:c>
    </x:row>
    <x:row r="24">
      <x:c r="A24" s="40" t="n">
        <x:v>2025</x:v>
      </x:c>
      <x:c r="B24" s="40" t="str">
        <x:v>서울특별시</x:v>
      </x:c>
      <x:c r="C24" s="40" t="str">
        <x:v>국립</x:v>
      </x:c>
      <x:c r="D24" s="40" t="str">
        <x:v>서울과학기술대학교</x:v>
      </x:c>
      <x:c r="E24" s="40" t="str">
        <x:v>나</x:v>
      </x:c>
      <x:c r="F24" s="40" t="str">
        <x:v>수능위주(일반전형)</x:v>
      </x:c>
      <x:c r="G24" s="41" t="str">
        <x:v>화공생명공학과</x:v>
      </x:c>
      <x:c r="H24" s="40"/>
      <x:c r="I24" s="40"/>
      <x:c r="J24" s="40" t="n">
        <x:v>26</x:v>
      </x:c>
      <x:c r="K24" s="60" t="n">
        <x:v>4.42</x:v>
      </x:c>
      <x:c r="L24" s="40" t="n">
        <x:v>21</x:v>
      </x:c>
      <x:c r="M24" s="60"/>
      <x:c r="N24" s="60" t="n">
        <x:v>916.17</x:v>
      </x:c>
      <x:c r="O24" s="60" t="n">
        <x:v>1000</x:v>
      </x:c>
      <x:c r="P24" s="62"/>
      <x:c r="Q24" s="62"/>
      <x:c r="R24" s="62"/>
      <x:c r="S24" s="62"/>
      <x:c r="T24" s="62"/>
      <x:c r="U24" s="62"/>
      <x:c r="V24" s="60" t="n">
        <x:v>84.33</x:v>
      </x:c>
      <x:c r="W24" s="60" t="str">
        <x:f>IF(COUNT(P24:S24)&gt;=3,AVERAGE(P24:S24),"")</x:f>
      </x:c>
      <x:c r="X24" s="60" t="n">
        <x:f>IF(V24&lt;&gt;"",V24,W24)</x:f>
        <x:v>84.33</x:v>
      </x:c>
      <x:c r="Y24" s="40" t="str">
        <x:f>IF(V24&lt;&gt;"","공식 70% 평균백분위",IF(W24&lt;&gt;"","파생 단순평균(참고)","비교불가"))</x:f>
        <x:v>공식 70% 평균백분위</x:v>
      </x:c>
      <x:c r="Z24" s="60" t="n">
        <x:f>'추천_테스트'!$B$8</x:f>
        <x:v>80</x:v>
      </x:c>
      <x:c r="AA24" s="60" t="n">
        <x:f>IF(X24="","",Z24-X24)</x:f>
        <x:v>-4.329999999999998</x:v>
      </x:c>
      <x:c r="AB24" s="40" t="str">
        <x:f>IF(X24="","",IF(AA24&gt;='추천_테스트'!$B$10,"안정",IF(AA24&gt;='추천_테스트'!$B$11,"적정",IF(AA24&gt;='추천_테스트'!$B$12,"소신","상향"))))</x:f>
        <x:v>상향</x:v>
      </x:c>
      <x:c r="AC24" s="62" t="n">
        <x:v>0</x:v>
      </x:c>
      <x:c r="AD24" s="62" t="n">
        <x:v>96</x:v>
      </x:c>
      <x:c r="AE24" s="62" t="n">
        <x:v>4</x:v>
      </x:c>
      <x:c r="AF24" s="41" t="str">
        <x:v>A: 공식 70% 평균백분위 제공</x:v>
      </x:c>
      <x:c r="AG24" s="41" t="str">
        <x:v>https://www.adiga.kr/ucp/uvt/uni/univDetailSelection.do?menuId=PCUVTINF2000&amp;searchSyr=2026&amp;unvCd=0000036</x:v>
      </x:c>
    </x:row>
    <x:row r="25">
      <x:c r="A25" s="40" t="n">
        <x:v>2025</x:v>
      </x:c>
      <x:c r="B25" s="40" t="str">
        <x:v>서울특별시</x:v>
      </x:c>
      <x:c r="C25" s="40" t="str">
        <x:v>국립</x:v>
      </x:c>
      <x:c r="D25" s="40" t="str">
        <x:v>서울과학기술대학교</x:v>
      </x:c>
      <x:c r="E25" s="40" t="str">
        <x:v>나</x:v>
      </x:c>
      <x:c r="F25" s="40" t="str">
        <x:v>수능위주(일반전형)</x:v>
      </x:c>
      <x:c r="G25" s="41" t="str">
        <x:v>식품생명공학과</x:v>
      </x:c>
      <x:c r="H25" s="40"/>
      <x:c r="I25" s="40"/>
      <x:c r="J25" s="40" t="n">
        <x:v>7</x:v>
      </x:c>
      <x:c r="K25" s="60" t="n">
        <x:v>6.14</x:v>
      </x:c>
      <x:c r="L25" s="40" t="n">
        <x:v>11</x:v>
      </x:c>
      <x:c r="M25" s="60"/>
      <x:c r="N25" s="60" t="n">
        <x:v>908.16</x:v>
      </x:c>
      <x:c r="O25" s="60" t="n">
        <x:v>1000</x:v>
      </x:c>
      <x:c r="P25" s="62"/>
      <x:c r="Q25" s="62"/>
      <x:c r="R25" s="62"/>
      <x:c r="S25" s="62"/>
      <x:c r="T25" s="62"/>
      <x:c r="U25" s="62"/>
      <x:c r="V25" s="60" t="n">
        <x:v>82</x:v>
      </x:c>
      <x:c r="W25" s="60" t="str">
        <x:f>IF(COUNT(P25:S25)&gt;=3,AVERAGE(P25:S25),"")</x:f>
      </x:c>
      <x:c r="X25" s="60" t="n">
        <x:f>IF(V25&lt;&gt;"",V25,W25)</x:f>
        <x:v>82</x:v>
      </x:c>
      <x:c r="Y25" s="40" t="str">
        <x:f>IF(V25&lt;&gt;"","공식 70% 평균백분위",IF(W25&lt;&gt;"","파생 단순평균(참고)","비교불가"))</x:f>
        <x:v>공식 70% 평균백분위</x:v>
      </x:c>
      <x:c r="Z25" s="60" t="n">
        <x:f>'추천_테스트'!$B$8</x:f>
        <x:v>80</x:v>
      </x:c>
      <x:c r="AA25" s="60" t="n">
        <x:f>IF(X25="","",Z25-X25)</x:f>
        <x:v>-2</x:v>
      </x:c>
      <x:c r="AB25" s="40" t="str">
        <x:f>IF(X25="","",IF(AA25&gt;='추천_테스트'!$B$10,"안정",IF(AA25&gt;='추천_테스트'!$B$11,"적정",IF(AA25&gt;='추천_테스트'!$B$12,"소신","상향"))))</x:f>
        <x:v>소신</x:v>
      </x:c>
      <x:c r="AC25" s="62" t="n">
        <x:v>0</x:v>
      </x:c>
      <x:c r="AD25" s="62" t="n">
        <x:v>100</x:v>
      </x:c>
      <x:c r="AE25" s="62" t="n">
        <x:v>0</x:v>
      </x:c>
      <x:c r="AF25" s="41" t="str">
        <x:v>A: 공식 70% 평균백분위 제공</x:v>
      </x:c>
      <x:c r="AG25" s="41" t="str">
        <x:v>https://www.adiga.kr/ucp/uvt/uni/univDetailSelection.do?menuId=PCUVTINF2000&amp;searchSyr=2026&amp;unvCd=0000036</x:v>
      </x:c>
    </x:row>
    <x:row r="26">
      <x:c r="A26" s="40" t="n">
        <x:v>2025</x:v>
      </x:c>
      <x:c r="B26" s="40" t="str">
        <x:v>서울특별시</x:v>
      </x:c>
      <x:c r="C26" s="40" t="str">
        <x:v>국립</x:v>
      </x:c>
      <x:c r="D26" s="40" t="str">
        <x:v>서울과학기술대학교</x:v>
      </x:c>
      <x:c r="E26" s="40" t="str">
        <x:v>나</x:v>
      </x:c>
      <x:c r="F26" s="40" t="str">
        <x:v>수능위주(일반전형)</x:v>
      </x:c>
      <x:c r="G26" s="41" t="str">
        <x:v>산업공학과 산업정보시스템전공(자연)</x:v>
      </x:c>
      <x:c r="H26" s="40"/>
      <x:c r="I26" s="40"/>
      <x:c r="J26" s="40" t="n">
        <x:v>7</x:v>
      </x:c>
      <x:c r="K26" s="60" t="n">
        <x:v>5.57</x:v>
      </x:c>
      <x:c r="L26" s="40" t="n">
        <x:v>3</x:v>
      </x:c>
      <x:c r="M26" s="60"/>
      <x:c r="N26" s="60" t="n">
        <x:v>922.15</x:v>
      </x:c>
      <x:c r="O26" s="60" t="n">
        <x:v>1000</x:v>
      </x:c>
      <x:c r="P26" s="62"/>
      <x:c r="Q26" s="62"/>
      <x:c r="R26" s="62"/>
      <x:c r="S26" s="62"/>
      <x:c r="T26" s="62"/>
      <x:c r="U26" s="62"/>
      <x:c r="V26" s="60" t="n">
        <x:v>86.33</x:v>
      </x:c>
      <x:c r="W26" s="60" t="str">
        <x:f>IF(COUNT(P26:S26)&gt;=3,AVERAGE(P26:S26),"")</x:f>
      </x:c>
      <x:c r="X26" s="60" t="n">
        <x:f>IF(V26&lt;&gt;"",V26,W26)</x:f>
        <x:v>86.33</x:v>
      </x:c>
      <x:c r="Y26" s="40" t="str">
        <x:f>IF(V26&lt;&gt;"","공식 70% 평균백분위",IF(W26&lt;&gt;"","파생 단순평균(참고)","비교불가"))</x:f>
        <x:v>공식 70% 평균백분위</x:v>
      </x:c>
      <x:c r="Z26" s="60" t="n">
        <x:f>'추천_테스트'!$B$8</x:f>
        <x:v>80</x:v>
      </x:c>
      <x:c r="AA26" s="60" t="n">
        <x:f>IF(X26="","",Z26-X26)</x:f>
        <x:v>-6.329999999999998</x:v>
      </x:c>
      <x:c r="AB26" s="40" t="str">
        <x:f>IF(X26="","",IF(AA26&gt;='추천_테스트'!$B$10,"안정",IF(AA26&gt;='추천_테스트'!$B$11,"적정",IF(AA26&gt;='추천_테스트'!$B$12,"소신","상향"))))</x:f>
        <x:v>상향</x:v>
      </x:c>
      <x:c r="AC26" s="62" t="n">
        <x:v>0</x:v>
      </x:c>
      <x:c r="AD26" s="62" t="n">
        <x:v>100</x:v>
      </x:c>
      <x:c r="AE26" s="62" t="n">
        <x:v>0</x:v>
      </x:c>
      <x:c r="AF26" s="41" t="str">
        <x:v>A: 공식 70% 평균백분위 제공</x:v>
      </x:c>
      <x:c r="AG26" s="41" t="str">
        <x:v>https://www.adiga.kr/ucp/uvt/uni/univDetailSelection.do?menuId=PCUVTINF2000&amp;searchSyr=2026&amp;unvCd=0000036</x:v>
      </x:c>
    </x:row>
    <x:row r="27">
      <x:c r="A27" s="40" t="n">
        <x:v>2025</x:v>
      </x:c>
      <x:c r="B27" s="40" t="str">
        <x:v>서울특별시</x:v>
      </x:c>
      <x:c r="C27" s="40" t="str">
        <x:v>국립</x:v>
      </x:c>
      <x:c r="D27" s="40" t="str">
        <x:v>서울과학기술대학교</x:v>
      </x:c>
      <x:c r="E27" s="40" t="str">
        <x:v>나</x:v>
      </x:c>
      <x:c r="F27" s="40" t="str">
        <x:v>수능위주(일반전형)</x:v>
      </x:c>
      <x:c r="G27" s="41" t="str">
        <x:v>행정학과</x:v>
      </x:c>
      <x:c r="H27" s="40"/>
      <x:c r="I27" s="40"/>
      <x:c r="J27" s="40" t="n">
        <x:v>10</x:v>
      </x:c>
      <x:c r="K27" s="60" t="n">
        <x:v>7.5</x:v>
      </x:c>
      <x:c r="L27" s="40" t="n">
        <x:v>14</x:v>
      </x:c>
      <x:c r="M27" s="60"/>
      <x:c r="N27" s="60" t="n">
        <x:v>914.9</x:v>
      </x:c>
      <x:c r="O27" s="60" t="n">
        <x:v>1000</x:v>
      </x:c>
      <x:c r="P27" s="62"/>
      <x:c r="Q27" s="62"/>
      <x:c r="R27" s="62"/>
      <x:c r="S27" s="62"/>
      <x:c r="T27" s="62"/>
      <x:c r="U27" s="62"/>
      <x:c r="V27" s="60" t="n">
        <x:v>82.17</x:v>
      </x:c>
      <x:c r="W27" s="60" t="str">
        <x:f>IF(COUNT(P27:S27)&gt;=3,AVERAGE(P27:S27),"")</x:f>
      </x:c>
      <x:c r="X27" s="60" t="n">
        <x:f>IF(V27&lt;&gt;"",V27,W27)</x:f>
        <x:v>82.17</x:v>
      </x:c>
      <x:c r="Y27" s="40" t="str">
        <x:f>IF(V27&lt;&gt;"","공식 70% 평균백분위",IF(W27&lt;&gt;"","파생 단순평균(참고)","비교불가"))</x:f>
        <x:v>공식 70% 평균백분위</x:v>
      </x:c>
      <x:c r="Z27" s="60" t="n">
        <x:f>'추천_테스트'!$B$8</x:f>
        <x:v>80</x:v>
      </x:c>
      <x:c r="AA27" s="60" t="n">
        <x:f>IF(X27="","",Z27-X27)</x:f>
        <x:v>-2.1700000000000017</x:v>
      </x:c>
      <x:c r="AB27" s="40" t="str">
        <x:f>IF(X27="","",IF(AA27&gt;='추천_테스트'!$B$10,"안정",IF(AA27&gt;='추천_테스트'!$B$11,"적정",IF(AA27&gt;='추천_테스트'!$B$12,"소신","상향"))))</x:f>
        <x:v>상향</x:v>
      </x:c>
      <x:c r="AC27" s="62" t="n">
        <x:v>80</x:v>
      </x:c>
      <x:c r="AD27" s="62" t="n">
        <x:v>20</x:v>
      </x:c>
      <x:c r="AE27" s="62" t="n">
        <x:v>0</x:v>
      </x:c>
      <x:c r="AF27" s="41" t="str">
        <x:v>A: 공식 70% 평균백분위 제공</x:v>
      </x:c>
      <x:c r="AG27" s="41" t="str">
        <x:v>https://www.adiga.kr/ucp/uvt/uni/univDetailSelection.do?menuId=PCUVTINF2000&amp;searchSyr=2026&amp;unvCd=0000036</x:v>
      </x:c>
    </x:row>
    <x:row r="28">
      <x:c r="A28" s="40" t="n">
        <x:v>2025</x:v>
      </x:c>
      <x:c r="B28" s="40" t="str">
        <x:v>서울특별시</x:v>
      </x:c>
      <x:c r="C28" s="40" t="str">
        <x:v>국립</x:v>
      </x:c>
      <x:c r="D28" s="40" t="str">
        <x:v>서울과학기술대학교</x:v>
      </x:c>
      <x:c r="E28" s="40" t="str">
        <x:v>나</x:v>
      </x:c>
      <x:c r="F28" s="40" t="str">
        <x:v>수능위주(일반전형)</x:v>
      </x:c>
      <x:c r="G28" s="41" t="str">
        <x:v>산업공학과 산업정보시스템전공(인문)</x:v>
      </x:c>
      <x:c r="H28" s="40"/>
      <x:c r="I28" s="40"/>
      <x:c r="J28" s="40" t="n">
        <x:v>2</x:v>
      </x:c>
      <x:c r="K28" s="60" t="n">
        <x:v>8</x:v>
      </x:c>
      <x:c r="L28" s="40" t="n">
        <x:v>2</x:v>
      </x:c>
      <x:c r="M28" s="60"/>
      <x:c r="N28" s="60" t="n">
        <x:v>921.97</x:v>
      </x:c>
      <x:c r="O28" s="60" t="n">
        <x:v>1000</x:v>
      </x:c>
      <x:c r="P28" s="62"/>
      <x:c r="Q28" s="62"/>
      <x:c r="R28" s="62"/>
      <x:c r="S28" s="62"/>
      <x:c r="T28" s="62"/>
      <x:c r="U28" s="62"/>
      <x:c r="V28" s="60" t="n">
        <x:v>85</x:v>
      </x:c>
      <x:c r="W28" s="60" t="str">
        <x:f>IF(COUNT(P28:S28)&gt;=3,AVERAGE(P28:S28),"")</x:f>
      </x:c>
      <x:c r="X28" s="60" t="n">
        <x:f>IF(V28&lt;&gt;"",V28,W28)</x:f>
        <x:v>85</x:v>
      </x:c>
      <x:c r="Y28" s="40" t="str">
        <x:f>IF(V28&lt;&gt;"","공식 70% 평균백분위",IF(W28&lt;&gt;"","파생 단순평균(참고)","비교불가"))</x:f>
        <x:v>공식 70% 평균백분위</x:v>
      </x:c>
      <x:c r="Z28" s="60" t="n">
        <x:f>'추천_테스트'!$B$8</x:f>
        <x:v>80</x:v>
      </x:c>
      <x:c r="AA28" s="60" t="n">
        <x:f>IF(X28="","",Z28-X28)</x:f>
        <x:v>-5</x:v>
      </x:c>
      <x:c r="AB28" s="40" t="str">
        <x:f>IF(X28="","",IF(AA28&gt;='추천_테스트'!$B$10,"안정",IF(AA28&gt;='추천_테스트'!$B$11,"적정",IF(AA28&gt;='추천_테스트'!$B$12,"소신","상향"))))</x:f>
        <x:v>상향</x:v>
      </x:c>
      <x:c r="AC28" s="62" t="n">
        <x:v>50</x:v>
      </x:c>
      <x:c r="AD28" s="62" t="n">
        <x:v>50</x:v>
      </x:c>
      <x:c r="AE28" s="62" t="n">
        <x:v>0</x:v>
      </x:c>
      <x:c r="AF28" s="41" t="str">
        <x:v>A: 공식 70% 평균백분위 제공</x:v>
      </x:c>
      <x:c r="AG28" s="41" t="str">
        <x:v>https://www.adiga.kr/ucp/uvt/uni/univDetailSelection.do?menuId=PCUVTINF2000&amp;searchSyr=2026&amp;unvCd=0000036</x:v>
      </x:c>
    </x:row>
    <x:row r="29">
      <x:c r="A29" s="40" t="n">
        <x:v>2025</x:v>
      </x:c>
      <x:c r="B29" s="40" t="str">
        <x:v>서울특별시</x:v>
      </x:c>
      <x:c r="C29" s="40" t="str">
        <x:v>국립</x:v>
      </x:c>
      <x:c r="D29" s="40" t="str">
        <x:v>서울과학기술대학교</x:v>
      </x:c>
      <x:c r="E29" s="40" t="str">
        <x:v>나</x:v>
      </x:c>
      <x:c r="F29" s="40" t="str">
        <x:v>수능위주(일반전형)</x:v>
      </x:c>
      <x:c r="G29" s="41" t="str">
        <x:v>스포츠과학과</x:v>
      </x:c>
      <x:c r="H29" s="40"/>
      <x:c r="I29" s="40"/>
      <x:c r="J29" s="40" t="n">
        <x:v>4</x:v>
      </x:c>
      <x:c r="K29" s="60" t="n">
        <x:v>6.25</x:v>
      </x:c>
      <x:c r="L29" s="40" t="n">
        <x:v>1</x:v>
      </x:c>
      <x:c r="M29" s="60"/>
      <x:c r="N29" s="60" t="n">
        <x:v>914.94</x:v>
      </x:c>
      <x:c r="O29" s="60" t="n">
        <x:v>1000</x:v>
      </x:c>
      <x:c r="P29" s="62"/>
      <x:c r="Q29" s="62"/>
      <x:c r="R29" s="62"/>
      <x:c r="S29" s="62"/>
      <x:c r="T29" s="62"/>
      <x:c r="U29" s="62"/>
      <x:c r="V29" s="60" t="n">
        <x:v>73.17</x:v>
      </x:c>
      <x:c r="W29" s="60" t="str">
        <x:f>IF(COUNT(P29:S29)&gt;=3,AVERAGE(P29:S29),"")</x:f>
      </x:c>
      <x:c r="X29" s="60" t="n">
        <x:f>IF(V29&lt;&gt;"",V29,W29)</x:f>
        <x:v>73.17</x:v>
      </x:c>
      <x:c r="Y29" s="40" t="str">
        <x:f>IF(V29&lt;&gt;"","공식 70% 평균백분위",IF(W29&lt;&gt;"","파생 단순평균(참고)","비교불가"))</x:f>
        <x:v>공식 70% 평균백분위</x:v>
      </x:c>
      <x:c r="Z29" s="60" t="n">
        <x:f>'추천_테스트'!$B$8</x:f>
        <x:v>80</x:v>
      </x:c>
      <x:c r="AA29" s="60" t="n">
        <x:f>IF(X29="","",Z29-X29)</x:f>
        <x:v>6.829999999999998</x:v>
      </x:c>
      <x:c r="AB29" s="40" t="str">
        <x:f>IF(X29="","",IF(AA29&gt;='추천_테스트'!$B$10,"안정",IF(AA29&gt;='추천_테스트'!$B$11,"적정",IF(AA29&gt;='추천_테스트'!$B$12,"소신","상향"))))</x:f>
        <x:v>안정</x:v>
      </x:c>
      <x:c r="AC29" s="62" t="n">
        <x:v>75</x:v>
      </x:c>
      <x:c r="AD29" s="62" t="n">
        <x:v>25</x:v>
      </x:c>
      <x:c r="AE29" s="62" t="n">
        <x:v>0</x:v>
      </x:c>
      <x:c r="AF29" s="41" t="str">
        <x:v>A: 공식 70% 평균백분위 제공</x:v>
      </x:c>
      <x:c r="AG29" s="41" t="str">
        <x:v>https://www.adiga.kr/ucp/uvt/uni/univDetailSelection.do?menuId=PCUVTINF2000&amp;searchSyr=2026&amp;unvCd=0000036</x:v>
      </x:c>
    </x:row>
    <x:row r="30">
      <x:c r="A30" s="40" t="n">
        <x:v>2025</x:v>
      </x:c>
      <x:c r="B30" s="40" t="str">
        <x:v>서울특별시</x:v>
      </x:c>
      <x:c r="C30" s="40" t="str">
        <x:v>국립</x:v>
      </x:c>
      <x:c r="D30" s="40" t="str">
        <x:v>서울과학기술대학교</x:v>
      </x:c>
      <x:c r="E30" s="40" t="str">
        <x:v>나</x:v>
      </x:c>
      <x:c r="F30" s="40" t="str">
        <x:v>수능위주(일반전형)</x:v>
      </x:c>
      <x:c r="G30" s="41" t="str">
        <x:v>디자인학과(산업디자인전공)</x:v>
      </x:c>
      <x:c r="H30" s="40"/>
      <x:c r="I30" s="40"/>
      <x:c r="J30" s="40" t="n">
        <x:v>7</x:v>
      </x:c>
      <x:c r="K30" s="60" t="n">
        <x:v>4.86</x:v>
      </x:c>
      <x:c r="L30" s="40" t="n">
        <x:v>8</x:v>
      </x:c>
      <x:c r="M30" s="60"/>
      <x:c r="N30" s="60" t="n">
        <x:v>917.1</x:v>
      </x:c>
      <x:c r="O30" s="60" t="n">
        <x:v>1000</x:v>
      </x:c>
      <x:c r="P30" s="62"/>
      <x:c r="Q30" s="62"/>
      <x:c r="R30" s="62"/>
      <x:c r="S30" s="62"/>
      <x:c r="T30" s="62"/>
      <x:c r="U30" s="62"/>
      <x:c r="V30" s="60" t="n">
        <x:v>86.75</x:v>
      </x:c>
      <x:c r="W30" s="60" t="str">
        <x:f>IF(COUNT(P30:S30)&gt;=3,AVERAGE(P30:S30),"")</x:f>
      </x:c>
      <x:c r="X30" s="60" t="n">
        <x:f>IF(V30&lt;&gt;"",V30,W30)</x:f>
        <x:v>86.75</x:v>
      </x:c>
      <x:c r="Y30" s="40" t="str">
        <x:f>IF(V30&lt;&gt;"","공식 70% 평균백분위",IF(W30&lt;&gt;"","파생 단순평균(참고)","비교불가"))</x:f>
        <x:v>공식 70% 평균백분위</x:v>
      </x:c>
      <x:c r="Z30" s="60" t="n">
        <x:f>'추천_테스트'!$B$8</x:f>
        <x:v>80</x:v>
      </x:c>
      <x:c r="AA30" s="60" t="n">
        <x:f>IF(X30="","",Z30-X30)</x:f>
        <x:v>-6.75</x:v>
      </x:c>
      <x:c r="AB30" s="40" t="str">
        <x:f>IF(X30="","",IF(AA30&gt;='추천_테스트'!$B$10,"안정",IF(AA30&gt;='추천_테스트'!$B$11,"적정",IF(AA30&gt;='추천_테스트'!$B$12,"소신","상향"))))</x:f>
        <x:v>상향</x:v>
      </x:c>
      <x:c r="AC30" s="62" t="n">
        <x:v>57</x:v>
      </x:c>
      <x:c r="AD30" s="62" t="n">
        <x:v>43</x:v>
      </x:c>
      <x:c r="AE30" s="62" t="n">
        <x:v>0</x:v>
      </x:c>
      <x:c r="AF30" s="41" t="str">
        <x:v>A: 공식 70% 평균백분위 제공</x:v>
      </x:c>
      <x:c r="AG30" s="41" t="str">
        <x:v>https://www.adiga.kr/ucp/uvt/uni/univDetailSelection.do?menuId=PCUVTINF2000&amp;searchSyr=2026&amp;unvCd=0000036</x:v>
      </x:c>
    </x:row>
    <x:row r="31">
      <x:c r="A31" s="40" t="n">
        <x:v>2025</x:v>
      </x:c>
      <x:c r="B31" s="40" t="str">
        <x:v>서울특별시</x:v>
      </x:c>
      <x:c r="C31" s="40" t="str">
        <x:v>국립</x:v>
      </x:c>
      <x:c r="D31" s="40" t="str">
        <x:v>서울과학기술대학교</x:v>
      </x:c>
      <x:c r="E31" s="40" t="str">
        <x:v>나</x:v>
      </x:c>
      <x:c r="F31" s="40" t="str">
        <x:v>수능위주(일반전형)</x:v>
      </x:c>
      <x:c r="G31" s="41" t="str">
        <x:v>디자인학과(시각디자인전공)</x:v>
      </x:c>
      <x:c r="H31" s="40"/>
      <x:c r="I31" s="40"/>
      <x:c r="J31" s="40" t="n">
        <x:v>3</x:v>
      </x:c>
      <x:c r="K31" s="60" t="n">
        <x:v>7</x:v>
      </x:c>
      <x:c r="L31" s="40" t="n">
        <x:v>2</x:v>
      </x:c>
      <x:c r="M31" s="60"/>
      <x:c r="N31" s="60" t="n">
        <x:v>960.69</x:v>
      </x:c>
      <x:c r="O31" s="60" t="n">
        <x:v>1000</x:v>
      </x:c>
      <x:c r="P31" s="62"/>
      <x:c r="Q31" s="62"/>
      <x:c r="R31" s="62"/>
      <x:c r="S31" s="62"/>
      <x:c r="T31" s="62"/>
      <x:c r="U31" s="62"/>
      <x:c r="V31" s="60" t="n">
        <x:v>88.25</x:v>
      </x:c>
      <x:c r="W31" s="60" t="str">
        <x:f>IF(COUNT(P31:S31)&gt;=3,AVERAGE(P31:S31),"")</x:f>
      </x:c>
      <x:c r="X31" s="60" t="n">
        <x:f>IF(V31&lt;&gt;"",V31,W31)</x:f>
        <x:v>88.25</x:v>
      </x:c>
      <x:c r="Y31" s="40" t="str">
        <x:f>IF(V31&lt;&gt;"","공식 70% 평균백분위",IF(W31&lt;&gt;"","파생 단순평균(참고)","비교불가"))</x:f>
        <x:v>공식 70% 평균백분위</x:v>
      </x:c>
      <x:c r="Z31" s="60" t="n">
        <x:f>'추천_테스트'!$B$8</x:f>
        <x:v>80</x:v>
      </x:c>
      <x:c r="AA31" s="60" t="n">
        <x:f>IF(X31="","",Z31-X31)</x:f>
        <x:v>-8.25</x:v>
      </x:c>
      <x:c r="AB31" s="40" t="str">
        <x:f>IF(X31="","",IF(AA31&gt;='추천_테스트'!$B$10,"안정",IF(AA31&gt;='추천_테스트'!$B$11,"적정",IF(AA31&gt;='추천_테스트'!$B$12,"소신","상향"))))</x:f>
        <x:v>상향</x:v>
      </x:c>
      <x:c r="AC31" s="62" t="n">
        <x:v>67</x:v>
      </x:c>
      <x:c r="AD31" s="62" t="n">
        <x:v>33</x:v>
      </x:c>
      <x:c r="AE31" s="62" t="n">
        <x:v>0</x:v>
      </x:c>
      <x:c r="AF31" s="41" t="str">
        <x:v>A: 공식 70% 평균백분위 제공</x:v>
      </x:c>
      <x:c r="AG31" s="41" t="str">
        <x:v>https://www.adiga.kr/ucp/uvt/uni/univDetailSelection.do?menuId=PCUVTINF2000&amp;searchSyr=2026&amp;unvCd=0000036</x:v>
      </x:c>
    </x:row>
    <x:row r="32">
      <x:c r="A32" s="40" t="n">
        <x:v>2025</x:v>
      </x:c>
      <x:c r="B32" s="40" t="str">
        <x:v>서울특별시</x:v>
      </x:c>
      <x:c r="C32" s="40" t="str">
        <x:v>국립</x:v>
      </x:c>
      <x:c r="D32" s="40" t="str">
        <x:v>서울과학기술대학교</x:v>
      </x:c>
      <x:c r="E32" s="40" t="str">
        <x:v>나</x:v>
      </x:c>
      <x:c r="F32" s="40" t="str">
        <x:v>수능위주(일반전형)</x:v>
      </x:c>
      <x:c r="G32" s="41" t="str">
        <x:v>금속공예디자인학과</x:v>
      </x:c>
      <x:c r="H32" s="40"/>
      <x:c r="I32" s="40"/>
      <x:c r="J32" s="40" t="n">
        <x:v>3</x:v>
      </x:c>
      <x:c r="K32" s="60" t="n">
        <x:v>6.67</x:v>
      </x:c>
      <x:c r="L32" s="40" t="n">
        <x:v>3</x:v>
      </x:c>
      <x:c r="M32" s="60"/>
      <x:c r="N32" s="60" t="n">
        <x:v>945.49</x:v>
      </x:c>
      <x:c r="O32" s="60" t="n">
        <x:v>1000</x:v>
      </x:c>
      <x:c r="P32" s="62"/>
      <x:c r="Q32" s="62"/>
      <x:c r="R32" s="62"/>
      <x:c r="S32" s="62"/>
      <x:c r="T32" s="62"/>
      <x:c r="U32" s="62"/>
      <x:c r="V32" s="60" t="n">
        <x:v>86</x:v>
      </x:c>
      <x:c r="W32" s="60" t="str">
        <x:f>IF(COUNT(P32:S32)&gt;=3,AVERAGE(P32:S32),"")</x:f>
      </x:c>
      <x:c r="X32" s="60" t="n">
        <x:f>IF(V32&lt;&gt;"",V32,W32)</x:f>
        <x:v>86</x:v>
      </x:c>
      <x:c r="Y32" s="40" t="str">
        <x:f>IF(V32&lt;&gt;"","공식 70% 평균백분위",IF(W32&lt;&gt;"","파생 단순평균(참고)","비교불가"))</x:f>
        <x:v>공식 70% 평균백분위</x:v>
      </x:c>
      <x:c r="Z32" s="60" t="n">
        <x:f>'추천_테스트'!$B$8</x:f>
        <x:v>80</x:v>
      </x:c>
      <x:c r="AA32" s="60" t="n">
        <x:f>IF(X32="","",Z32-X32)</x:f>
        <x:v>-6</x:v>
      </x:c>
      <x:c r="AB32" s="40" t="str">
        <x:f>IF(X32="","",IF(AA32&gt;='추천_테스트'!$B$10,"안정",IF(AA32&gt;='추천_테스트'!$B$11,"적정",IF(AA32&gt;='추천_테스트'!$B$12,"소신","상향"))))</x:f>
        <x:v>상향</x:v>
      </x:c>
      <x:c r="AC32" s="62" t="n">
        <x:v>67</x:v>
      </x:c>
      <x:c r="AD32" s="62" t="n">
        <x:v>33</x:v>
      </x:c>
      <x:c r="AE32" s="62" t="n">
        <x:v>0</x:v>
      </x:c>
      <x:c r="AF32" s="41" t="str">
        <x:v>A: 공식 70% 평균백분위 제공</x:v>
      </x:c>
      <x:c r="AG32" s="41" t="str">
        <x:v>https://www.adiga.kr/ucp/uvt/uni/univDetailSelection.do?menuId=PCUVTINF2000&amp;searchSyr=2026&amp;unvCd=0000036</x:v>
      </x:c>
    </x:row>
    <x:row r="33">
      <x:c r="A33" s="40" t="n">
        <x:v>2025</x:v>
      </x:c>
      <x:c r="B33" s="40" t="str">
        <x:v>서울특별시</x:v>
      </x:c>
      <x:c r="C33" s="40" t="str">
        <x:v>국립</x:v>
      </x:c>
      <x:c r="D33" s="40" t="str">
        <x:v>서울과학기술대학교</x:v>
      </x:c>
      <x:c r="E33" s="40" t="str">
        <x:v>나</x:v>
      </x:c>
      <x:c r="F33" s="40" t="str">
        <x:v>수능위주(일반전형)</x:v>
      </x:c>
      <x:c r="G33" s="41" t="str">
        <x:v>자유전공학부(창의융합대학)</x:v>
      </x:c>
      <x:c r="H33" s="40"/>
      <x:c r="I33" s="40"/>
      <x:c r="J33" s="40" t="n">
        <x:v>20</x:v>
      </x:c>
      <x:c r="K33" s="60" t="n">
        <x:v>4.9</x:v>
      </x:c>
      <x:c r="L33" s="40" t="n">
        <x:v>14</x:v>
      </x:c>
      <x:c r="M33" s="60"/>
      <x:c r="N33" s="60" t="n">
        <x:v>914.41</x:v>
      </x:c>
      <x:c r="O33" s="60" t="n">
        <x:v>1000</x:v>
      </x:c>
      <x:c r="P33" s="62"/>
      <x:c r="Q33" s="62"/>
      <x:c r="R33" s="62"/>
      <x:c r="S33" s="62"/>
      <x:c r="T33" s="62"/>
      <x:c r="U33" s="62"/>
      <x:c r="V33" s="60" t="n">
        <x:v>85.17</x:v>
      </x:c>
      <x:c r="W33" s="60" t="str">
        <x:f>IF(COUNT(P33:S33)&gt;=3,AVERAGE(P33:S33),"")</x:f>
      </x:c>
      <x:c r="X33" s="60" t="n">
        <x:f>IF(V33&lt;&gt;"",V33,W33)</x:f>
        <x:v>85.17</x:v>
      </x:c>
      <x:c r="Y33" s="40" t="str">
        <x:f>IF(V33&lt;&gt;"","공식 70% 평균백분위",IF(W33&lt;&gt;"","파생 단순평균(참고)","비교불가"))</x:f>
        <x:v>공식 70% 평균백분위</x:v>
      </x:c>
      <x:c r="Z33" s="60" t="n">
        <x:f>'추천_테스트'!$B$8</x:f>
        <x:v>80</x:v>
      </x:c>
      <x:c r="AA33" s="60" t="n">
        <x:f>IF(X33="","",Z33-X33)</x:f>
        <x:v>-5.170000000000002</x:v>
      </x:c>
      <x:c r="AB33" s="40" t="str">
        <x:f>IF(X33="","",IF(AA33&gt;='추천_테스트'!$B$10,"안정",IF(AA33&gt;='추천_테스트'!$B$11,"적정",IF(AA33&gt;='추천_테스트'!$B$12,"소신","상향"))))</x:f>
        <x:v>상향</x:v>
      </x:c>
      <x:c r="AC33" s="62" t="n">
        <x:v>0</x:v>
      </x:c>
      <x:c r="AD33" s="62" t="n">
        <x:v>100</x:v>
      </x:c>
      <x:c r="AE33" s="62" t="n">
        <x:v>0</x:v>
      </x:c>
      <x:c r="AF33" s="41" t="str">
        <x:v>A: 공식 70% 평균백분위 제공</x:v>
      </x:c>
      <x:c r="AG33" s="41" t="str">
        <x:v>https://www.adiga.kr/ucp/uvt/uni/univDetailSelection.do?menuId=PCUVTINF2000&amp;searchSyr=2026&amp;unvCd=0000036</x:v>
      </x:c>
    </x:row>
    <x:row r="34">
      <x:c r="A34" s="40" t="n">
        <x:v>2025</x:v>
      </x:c>
      <x:c r="B34" s="40" t="str">
        <x:v>서울특별시</x:v>
      </x:c>
      <x:c r="C34" s="40" t="str">
        <x:v>국립</x:v>
      </x:c>
      <x:c r="D34" s="40" t="str">
        <x:v>서울과학기술대학교</x:v>
      </x:c>
      <x:c r="E34" s="40" t="str">
        <x:v>다</x:v>
      </x:c>
      <x:c r="F34" s="40" t="str">
        <x:v>수능위주(일반전형)</x:v>
      </x:c>
      <x:c r="G34" s="41" t="str">
        <x:v>인공지능응용학과</x:v>
      </x:c>
      <x:c r="H34" s="40"/>
      <x:c r="I34" s="40"/>
      <x:c r="J34" s="40" t="n">
        <x:v>19</x:v>
      </x:c>
      <x:c r="K34" s="60" t="n">
        <x:v>7.26</x:v>
      </x:c>
      <x:c r="L34" s="40" t="n">
        <x:v>15</x:v>
      </x:c>
      <x:c r="M34" s="60"/>
      <x:c r="N34" s="60" t="n">
        <x:v>916.48</x:v>
      </x:c>
      <x:c r="O34" s="60" t="n">
        <x:v>1000</x:v>
      </x:c>
      <x:c r="P34" s="62"/>
      <x:c r="Q34" s="62"/>
      <x:c r="R34" s="62"/>
      <x:c r="S34" s="62"/>
      <x:c r="T34" s="62"/>
      <x:c r="U34" s="62"/>
      <x:c r="V34" s="60" t="n">
        <x:v>84.33</x:v>
      </x:c>
      <x:c r="W34" s="60" t="str">
        <x:f>IF(COUNT(P34:S34)&gt;=3,AVERAGE(P34:S34),"")</x:f>
      </x:c>
      <x:c r="X34" s="60" t="n">
        <x:f>IF(V34&lt;&gt;"",V34,W34)</x:f>
        <x:v>84.33</x:v>
      </x:c>
      <x:c r="Y34" s="40" t="str">
        <x:f>IF(V34&lt;&gt;"","공식 70% 평균백분위",IF(W34&lt;&gt;"","파생 단순평균(참고)","비교불가"))</x:f>
        <x:v>공식 70% 평균백분위</x:v>
      </x:c>
      <x:c r="Z34" s="60" t="n">
        <x:f>'추천_테스트'!$B$8</x:f>
        <x:v>80</x:v>
      </x:c>
      <x:c r="AA34" s="60" t="n">
        <x:f>IF(X34="","",Z34-X34)</x:f>
        <x:v>-4.329999999999998</x:v>
      </x:c>
      <x:c r="AB34" s="40" t="str">
        <x:f>IF(X34="","",IF(AA34&gt;='추천_테스트'!$B$10,"안정",IF(AA34&gt;='추천_테스트'!$B$11,"적정",IF(AA34&gt;='추천_테스트'!$B$12,"소신","상향"))))</x:f>
        <x:v>상향</x:v>
      </x:c>
      <x:c r="AC34" s="62" t="n">
        <x:v>0</x:v>
      </x:c>
      <x:c r="AD34" s="62" t="n">
        <x:v>95</x:v>
      </x:c>
      <x:c r="AE34" s="62" t="n">
        <x:v>5</x:v>
      </x:c>
      <x:c r="AF34" s="41" t="str">
        <x:v>A: 공식 70% 평균백분위 제공</x:v>
      </x:c>
      <x:c r="AG34" s="41" t="str">
        <x:v>https://www.adiga.kr/ucp/uvt/uni/univDetailSelection.do?menuId=PCUVTINF2000&amp;searchSyr=2026&amp;unvCd=0000036</x:v>
      </x:c>
    </x:row>
    <x:row r="35">
      <x:c r="A35" s="40" t="n">
        <x:v>2025</x:v>
      </x:c>
      <x:c r="B35" s="40" t="str">
        <x:v>서울특별시</x:v>
      </x:c>
      <x:c r="C35" s="40" t="str">
        <x:v>국립</x:v>
      </x:c>
      <x:c r="D35" s="40" t="str">
        <x:v>서울과학기술대학교</x:v>
      </x:c>
      <x:c r="E35" s="40" t="str">
        <x:v>다</x:v>
      </x:c>
      <x:c r="F35" s="40" t="str">
        <x:v>수능위주(일반전형)</x:v>
      </x:c>
      <x:c r="G35" s="41" t="str">
        <x:v>지능형반도체공학과</x:v>
      </x:c>
      <x:c r="H35" s="40"/>
      <x:c r="I35" s="40"/>
      <x:c r="J35" s="40" t="n">
        <x:v>14</x:v>
      </x:c>
      <x:c r="K35" s="60" t="n">
        <x:v>5.93</x:v>
      </x:c>
      <x:c r="L35" s="40" t="n">
        <x:v>17</x:v>
      </x:c>
      <x:c r="M35" s="60"/>
      <x:c r="N35" s="60" t="n">
        <x:v>917.97</x:v>
      </x:c>
      <x:c r="O35" s="60" t="n">
        <x:v>1000</x:v>
      </x:c>
      <x:c r="P35" s="62"/>
      <x:c r="Q35" s="62"/>
      <x:c r="R35" s="62"/>
      <x:c r="S35" s="62"/>
      <x:c r="T35" s="62"/>
      <x:c r="U35" s="62"/>
      <x:c r="V35" s="60" t="n">
        <x:v>84.33</x:v>
      </x:c>
      <x:c r="W35" s="60" t="str">
        <x:f>IF(COUNT(P35:S35)&gt;=3,AVERAGE(P35:S35),"")</x:f>
      </x:c>
      <x:c r="X35" s="60" t="n">
        <x:f>IF(V35&lt;&gt;"",V35,W35)</x:f>
        <x:v>84.33</x:v>
      </x:c>
      <x:c r="Y35" s="40" t="str">
        <x:f>IF(V35&lt;&gt;"","공식 70% 평균백분위",IF(W35&lt;&gt;"","파생 단순평균(참고)","비교불가"))</x:f>
        <x:v>공식 70% 평균백분위</x:v>
      </x:c>
      <x:c r="Z35" s="60" t="n">
        <x:f>'추천_테스트'!$B$8</x:f>
        <x:v>80</x:v>
      </x:c>
      <x:c r="AA35" s="60" t="n">
        <x:f>IF(X35="","",Z35-X35)</x:f>
        <x:v>-4.329999999999998</x:v>
      </x:c>
      <x:c r="AB35" s="40" t="str">
        <x:f>IF(X35="","",IF(AA35&gt;='추천_테스트'!$B$10,"안정",IF(AA35&gt;='추천_테스트'!$B$11,"적정",IF(AA35&gt;='추천_테스트'!$B$12,"소신","상향"))))</x:f>
        <x:v>상향</x:v>
      </x:c>
      <x:c r="AC35" s="62" t="n">
        <x:v>0</x:v>
      </x:c>
      <x:c r="AD35" s="62" t="n">
        <x:v>100</x:v>
      </x:c>
      <x:c r="AE35" s="62" t="n">
        <x:v>0</x:v>
      </x:c>
      <x:c r="AF35" s="41" t="str">
        <x:v>A: 공식 70% 평균백분위 제공</x:v>
      </x:c>
      <x:c r="AG35" s="41" t="str">
        <x:v>https://www.adiga.kr/ucp/uvt/uni/univDetailSelection.do?menuId=PCUVTINF2000&amp;searchSyr=2026&amp;unvCd=0000036</x:v>
      </x:c>
    </x:row>
    <x:row r="36">
      <x:c r="A36" s="40" t="n">
        <x:v>2025</x:v>
      </x:c>
      <x:c r="B36" s="40" t="str">
        <x:v>서울특별시</x:v>
      </x:c>
      <x:c r="C36" s="40" t="str">
        <x:v>국립</x:v>
      </x:c>
      <x:c r="D36" s="40" t="str">
        <x:v>서울과학기술대학교</x:v>
      </x:c>
      <x:c r="E36" s="40" t="str">
        <x:v>다</x:v>
      </x:c>
      <x:c r="F36" s="40" t="str">
        <x:v>수능위주(일반전형)</x:v>
      </x:c>
      <x:c r="G36" s="41" t="str">
        <x:v>미래에너지융합학과</x:v>
      </x:c>
      <x:c r="H36" s="40"/>
      <x:c r="I36" s="40"/>
      <x:c r="J36" s="40" t="n">
        <x:v>6</x:v>
      </x:c>
      <x:c r="K36" s="60" t="n">
        <x:v>10.5</x:v>
      </x:c>
      <x:c r="L36" s="40" t="n">
        <x:v>6</x:v>
      </x:c>
      <x:c r="M36" s="60"/>
      <x:c r="N36" s="60" t="n">
        <x:v>913.37</x:v>
      </x:c>
      <x:c r="O36" s="60" t="n">
        <x:v>1000</x:v>
      </x:c>
      <x:c r="P36" s="62"/>
      <x:c r="Q36" s="62"/>
      <x:c r="R36" s="62"/>
      <x:c r="S36" s="62"/>
      <x:c r="T36" s="62"/>
      <x:c r="U36" s="62"/>
      <x:c r="V36" s="60" t="n">
        <x:v>82.67</x:v>
      </x:c>
      <x:c r="W36" s="60" t="str">
        <x:f>IF(COUNT(P36:S36)&gt;=3,AVERAGE(P36:S36),"")</x:f>
      </x:c>
      <x:c r="X36" s="60" t="n">
        <x:f>IF(V36&lt;&gt;"",V36,W36)</x:f>
        <x:v>82.67</x:v>
      </x:c>
      <x:c r="Y36" s="40" t="str">
        <x:f>IF(V36&lt;&gt;"","공식 70% 평균백분위",IF(W36&lt;&gt;"","파생 단순평균(참고)","비교불가"))</x:f>
        <x:v>공식 70% 평균백분위</x:v>
      </x:c>
      <x:c r="Z36" s="60" t="n">
        <x:f>'추천_테스트'!$B$8</x:f>
        <x:v>80</x:v>
      </x:c>
      <x:c r="AA36" s="60" t="n">
        <x:f>IF(X36="","",Z36-X36)</x:f>
        <x:v>-2.6700000000000017</x:v>
      </x:c>
      <x:c r="AB36" s="40" t="str">
        <x:f>IF(X36="","",IF(AA36&gt;='추천_테스트'!$B$10,"안정",IF(AA36&gt;='추천_테스트'!$B$11,"적정",IF(AA36&gt;='추천_테스트'!$B$12,"소신","상향"))))</x:f>
        <x:v>상향</x:v>
      </x:c>
      <x:c r="AC36" s="62" t="n">
        <x:v>0</x:v>
      </x:c>
      <x:c r="AD36" s="62" t="n">
        <x:v>100</x:v>
      </x:c>
      <x:c r="AE36" s="62" t="n">
        <x:v>0</x:v>
      </x:c>
      <x:c r="AF36" s="41" t="str">
        <x:v>A: 공식 70% 평균백분위 제공</x:v>
      </x:c>
      <x:c r="AG36" s="41" t="str">
        <x:v>https://www.adiga.kr/ucp/uvt/uni/univDetailSelection.do?menuId=PCUVTINF2000&amp;searchSyr=2026&amp;unvCd=0000036</x:v>
      </x:c>
    </x:row>
    <x:row r="37">
      <x:c r="A37" s="40" t="n">
        <x:v>2025</x:v>
      </x:c>
      <x:c r="B37" s="40" t="str">
        <x:v>서울특별시</x:v>
      </x:c>
      <x:c r="C37" s="40" t="str">
        <x:v>국립</x:v>
      </x:c>
      <x:c r="D37" s="40" t="str">
        <x:v>서울과학기술대학교</x:v>
      </x:c>
      <x:c r="E37" s="40" t="str">
        <x:v>다</x:v>
      </x:c>
      <x:c r="F37" s="40" t="str">
        <x:v>수능위주(일반전형)</x:v>
      </x:c>
      <x:c r="G37" s="41" t="str">
        <x:v>자유전공학부(인문사회대학)</x:v>
      </x:c>
      <x:c r="H37" s="40"/>
      <x:c r="I37" s="40"/>
      <x:c r="J37" s="40" t="n">
        <x:v>12</x:v>
      </x:c>
      <x:c r="K37" s="60" t="n">
        <x:v>7</x:v>
      </x:c>
      <x:c r="L37" s="40" t="n">
        <x:v>16</x:v>
      </x:c>
      <x:c r="M37" s="60"/>
      <x:c r="N37" s="60" t="n">
        <x:v>912.25</x:v>
      </x:c>
      <x:c r="O37" s="60" t="n">
        <x:v>1000</x:v>
      </x:c>
      <x:c r="P37" s="62"/>
      <x:c r="Q37" s="62"/>
      <x:c r="R37" s="62"/>
      <x:c r="S37" s="62"/>
      <x:c r="T37" s="62"/>
      <x:c r="U37" s="62"/>
      <x:c r="V37" s="60" t="n">
        <x:v>82.17</x:v>
      </x:c>
      <x:c r="W37" s="60" t="str">
        <x:f>IF(COUNT(P37:S37)&gt;=3,AVERAGE(P37:S37),"")</x:f>
      </x:c>
      <x:c r="X37" s="60" t="n">
        <x:f>IF(V37&lt;&gt;"",V37,W37)</x:f>
        <x:v>82.17</x:v>
      </x:c>
      <x:c r="Y37" s="40" t="str">
        <x:f>IF(V37&lt;&gt;"","공식 70% 평균백분위",IF(W37&lt;&gt;"","파생 단순평균(참고)","비교불가"))</x:f>
        <x:v>공식 70% 평균백분위</x:v>
      </x:c>
      <x:c r="Z37" s="60" t="n">
        <x:f>'추천_테스트'!$B$8</x:f>
        <x:v>80</x:v>
      </x:c>
      <x:c r="AA37" s="60" t="n">
        <x:f>IF(X37="","",Z37-X37)</x:f>
        <x:v>-2.1700000000000017</x:v>
      </x:c>
      <x:c r="AB37" s="40" t="str">
        <x:f>IF(X37="","",IF(AA37&gt;='추천_테스트'!$B$10,"안정",IF(AA37&gt;='추천_테스트'!$B$11,"적정",IF(AA37&gt;='추천_테스트'!$B$12,"소신","상향"))))</x:f>
        <x:v>상향</x:v>
      </x:c>
      <x:c r="AC37" s="62" t="n">
        <x:v>90</x:v>
      </x:c>
      <x:c r="AD37" s="62" t="n">
        <x:v>10</x:v>
      </x:c>
      <x:c r="AE37" s="62" t="n">
        <x:v>0</x:v>
      </x:c>
      <x:c r="AF37" s="41" t="str">
        <x:v>A: 공식 70% 평균백분위 제공</x:v>
      </x:c>
      <x:c r="AG37" s="41" t="str">
        <x:v>https://www.adiga.kr/ucp/uvt/uni/univDetailSelection.do?menuId=PCUVTINF2000&amp;searchSyr=2026&amp;unvCd=0000036</x:v>
      </x:c>
    </x:row>
    <x:row r="38">
      <x:c r="A38" s="40" t="n">
        <x:v>2025</x:v>
      </x:c>
      <x:c r="B38" s="40" t="str">
        <x:v>서울특별시</x:v>
      </x:c>
      <x:c r="C38" s="40" t="str">
        <x:v>국립</x:v>
      </x:c>
      <x:c r="D38" s="40" t="str">
        <x:v>서울과학기술대학교</x:v>
      </x:c>
      <x:c r="E38" s="40" t="str">
        <x:v>다</x:v>
      </x:c>
      <x:c r="F38" s="40" t="str">
        <x:v>수능위주(일반전형)</x:v>
      </x:c>
      <x:c r="G38" s="41" t="str">
        <x:v>자유전공학부(기술경영융합대학)</x:v>
      </x:c>
      <x:c r="H38" s="40"/>
      <x:c r="I38" s="40"/>
      <x:c r="J38" s="40" t="n">
        <x:v>14</x:v>
      </x:c>
      <x:c r="K38" s="60" t="n">
        <x:v>6.71</x:v>
      </x:c>
      <x:c r="L38" s="40" t="n">
        <x:v>14</x:v>
      </x:c>
      <x:c r="M38" s="60"/>
      <x:c r="N38" s="60" t="n">
        <x:v>900.87</x:v>
      </x:c>
      <x:c r="O38" s="60" t="n">
        <x:v>1000</x:v>
      </x:c>
      <x:c r="P38" s="62"/>
      <x:c r="Q38" s="62"/>
      <x:c r="R38" s="62"/>
      <x:c r="S38" s="62"/>
      <x:c r="T38" s="62"/>
      <x:c r="U38" s="62"/>
      <x:c r="V38" s="60" t="n">
        <x:v>85.33</x:v>
      </x:c>
      <x:c r="W38" s="60" t="str">
        <x:f>IF(COUNT(P38:S38)&gt;=3,AVERAGE(P38:S38),"")</x:f>
      </x:c>
      <x:c r="X38" s="60" t="n">
        <x:f>IF(V38&lt;&gt;"",V38,W38)</x:f>
        <x:v>85.33</x:v>
      </x:c>
      <x:c r="Y38" s="40" t="str">
        <x:f>IF(V38&lt;&gt;"","공식 70% 평균백분위",IF(W38&lt;&gt;"","파생 단순평균(참고)","비교불가"))</x:f>
        <x:v>공식 70% 평균백분위</x:v>
      </x:c>
      <x:c r="Z38" s="60" t="n">
        <x:f>'추천_테스트'!$B$8</x:f>
        <x:v>80</x:v>
      </x:c>
      <x:c r="AA38" s="60" t="n">
        <x:f>IF(X38="","",Z38-X38)</x:f>
        <x:v>-5.329999999999998</x:v>
      </x:c>
      <x:c r="AB38" s="40" t="str">
        <x:f>IF(X38="","",IF(AA38&gt;='추천_테스트'!$B$10,"안정",IF(AA38&gt;='추천_테스트'!$B$11,"적정",IF(AA38&gt;='추천_테스트'!$B$12,"소신","상향"))))</x:f>
        <x:v>상향</x:v>
      </x:c>
      <x:c r="AC38" s="62" t="n">
        <x:v>64</x:v>
      </x:c>
      <x:c r="AD38" s="62" t="n">
        <x:v>36</x:v>
      </x:c>
      <x:c r="AE38" s="62" t="n">
        <x:v>0</x:v>
      </x:c>
      <x:c r="AF38" s="41" t="str">
        <x:v>A: 공식 70% 평균백분위 제공</x:v>
      </x:c>
      <x:c r="AG38" s="41" t="str">
        <x:v>https://www.adiga.kr/ucp/uvt/uni/univDetailSelection.do?menuId=PCUVTINF2000&amp;searchSyr=2026&amp;unvCd=0000036</x:v>
      </x:c>
    </x:row>
    <x:row r="39">
      <x:c r="A39" s="40" t="n">
        <x:v>2025</x:v>
      </x:c>
      <x:c r="B39" s="40" t="str">
        <x:v>서울특별시</x:v>
      </x:c>
      <x:c r="C39" s="40" t="str">
        <x:v>국립</x:v>
      </x:c>
      <x:c r="D39" s="40" t="str">
        <x:v>서울과학기술대학교</x:v>
      </x:c>
      <x:c r="E39" s="40" t="str">
        <x:v>다</x:v>
      </x:c>
      <x:c r="F39" s="40" t="str">
        <x:v>수능위주(일반전형)</x:v>
      </x:c>
      <x:c r="G39" s="41" t="str">
        <x:v>자유전공학부(에너지바이오대학)</x:v>
      </x:c>
      <x:c r="H39" s="40"/>
      <x:c r="I39" s="40"/>
      <x:c r="J39" s="40" t="n">
        <x:v>24</x:v>
      </x:c>
      <x:c r="K39" s="60" t="n">
        <x:v>7.33</x:v>
      </x:c>
      <x:c r="L39" s="40" t="n">
        <x:v>14</x:v>
      </x:c>
      <x:c r="M39" s="60"/>
      <x:c r="N39" s="60" t="n">
        <x:v>909.69</x:v>
      </x:c>
      <x:c r="O39" s="60" t="n">
        <x:v>1000</x:v>
      </x:c>
      <x:c r="P39" s="62"/>
      <x:c r="Q39" s="62"/>
      <x:c r="R39" s="62"/>
      <x:c r="S39" s="62"/>
      <x:c r="T39" s="62"/>
      <x:c r="U39" s="62"/>
      <x:c r="V39" s="60" t="n">
        <x:v>83.33</x:v>
      </x:c>
      <x:c r="W39" s="60" t="str">
        <x:f>IF(COUNT(P39:S39)&gt;=3,AVERAGE(P39:S39),"")</x:f>
      </x:c>
      <x:c r="X39" s="60" t="n">
        <x:f>IF(V39&lt;&gt;"",V39,W39)</x:f>
        <x:v>83.33</x:v>
      </x:c>
      <x:c r="Y39" s="40" t="str">
        <x:f>IF(V39&lt;&gt;"","공식 70% 평균백분위",IF(W39&lt;&gt;"","파생 단순평균(참고)","비교불가"))</x:f>
        <x:v>공식 70% 평균백분위</x:v>
      </x:c>
      <x:c r="Z39" s="60" t="n">
        <x:f>'추천_테스트'!$B$8</x:f>
        <x:v>80</x:v>
      </x:c>
      <x:c r="AA39" s="60" t="n">
        <x:f>IF(X39="","",Z39-X39)</x:f>
        <x:v>-3.3299999999999983</x:v>
      </x:c>
      <x:c r="AB39" s="40" t="str">
        <x:f>IF(X39="","",IF(AA39&gt;='추천_테스트'!$B$10,"안정",IF(AA39&gt;='추천_테스트'!$B$11,"적정",IF(AA39&gt;='추천_테스트'!$B$12,"소신","상향"))))</x:f>
        <x:v>상향</x:v>
      </x:c>
      <x:c r="AC39" s="62" t="n">
        <x:v>0</x:v>
      </x:c>
      <x:c r="AD39" s="62" t="n">
        <x:v>96</x:v>
      </x:c>
      <x:c r="AE39" s="62" t="n">
        <x:v>4</x:v>
      </x:c>
      <x:c r="AF39" s="41" t="str">
        <x:v>A: 공식 70% 평균백분위 제공</x:v>
      </x:c>
      <x:c r="AG39" s="41" t="str">
        <x:v>https://www.adiga.kr/ucp/uvt/uni/univDetailSelection.do?menuId=PCUVTINF2000&amp;searchSyr=2026&amp;unvCd=0000036</x:v>
      </x:c>
    </x:row>
    <x:row r="40">
      <x:c r="A40" s="40" t="n">
        <x:v>2025</x:v>
      </x:c>
      <x:c r="B40" s="40" t="str">
        <x:v>서울특별시</x:v>
      </x:c>
      <x:c r="C40" s="40" t="str">
        <x:v>국립</x:v>
      </x:c>
      <x:c r="D40" s="40" t="str">
        <x:v>서울과학기술대학교</x:v>
      </x:c>
      <x:c r="E40" s="40" t="str">
        <x:v>다</x:v>
      </x:c>
      <x:c r="F40" s="40" t="str">
        <x:v>수능위주(일반전형)</x:v>
      </x:c>
      <x:c r="G40" s="41" t="str">
        <x:v>ST 자유전공학부</x:v>
      </x:c>
      <x:c r="H40" s="40"/>
      <x:c r="I40" s="40"/>
      <x:c r="J40" s="40" t="n">
        <x:v>36</x:v>
      </x:c>
      <x:c r="K40" s="60" t="n">
        <x:v>6.11</x:v>
      </x:c>
      <x:c r="L40" s="40" t="n">
        <x:v>30</x:v>
      </x:c>
      <x:c r="M40" s="60"/>
      <x:c r="N40" s="60" t="n">
        <x:v>915.59</x:v>
      </x:c>
      <x:c r="O40" s="60" t="n">
        <x:v>1000</x:v>
      </x:c>
      <x:c r="P40" s="62"/>
      <x:c r="Q40" s="62"/>
      <x:c r="R40" s="62"/>
      <x:c r="S40" s="62"/>
      <x:c r="T40" s="62"/>
      <x:c r="U40" s="62"/>
      <x:c r="V40" s="60" t="n">
        <x:v>84.17</x:v>
      </x:c>
      <x:c r="W40" s="60" t="str">
        <x:f>IF(COUNT(P40:S40)&gt;=3,AVERAGE(P40:S40),"")</x:f>
      </x:c>
      <x:c r="X40" s="60" t="n">
        <x:f>IF(V40&lt;&gt;"",V40,W40)</x:f>
        <x:v>84.17</x:v>
      </x:c>
      <x:c r="Y40" s="40" t="str">
        <x:f>IF(V40&lt;&gt;"","공식 70% 평균백분위",IF(W40&lt;&gt;"","파생 단순평균(참고)","비교불가"))</x:f>
        <x:v>공식 70% 평균백분위</x:v>
      </x:c>
      <x:c r="Z40" s="60" t="n">
        <x:f>'추천_테스트'!$B$8</x:f>
        <x:v>80</x:v>
      </x:c>
      <x:c r="AA40" s="60" t="n">
        <x:f>IF(X40="","",Z40-X40)</x:f>
        <x:v>-4.170000000000002</x:v>
      </x:c>
      <x:c r="AB40" s="40" t="str">
        <x:f>IF(X40="","",IF(AA40&gt;='추천_테스트'!$B$10,"안정",IF(AA40&gt;='추천_테스트'!$B$11,"적정",IF(AA40&gt;='추천_테스트'!$B$12,"소신","상향"))))</x:f>
        <x:v>상향</x:v>
      </x:c>
      <x:c r="AC40" s="62" t="n">
        <x:v>0</x:v>
      </x:c>
      <x:c r="AD40" s="62" t="n">
        <x:v>100</x:v>
      </x:c>
      <x:c r="AE40" s="62" t="n">
        <x:v>0</x:v>
      </x:c>
      <x:c r="AF40" s="41" t="str">
        <x:v>A: 공식 70% 평균백분위 제공</x:v>
      </x:c>
      <x:c r="AG40" s="41" t="str">
        <x:v>https://www.adiga.kr/ucp/uvt/uni/univDetailSelection.do?menuId=PCUVTINF2000&amp;searchSyr=2026&amp;unvCd=0000036</x:v>
      </x:c>
    </x:row>
    <x:row r="41">
      <x:c r="A41" s="40" t="n">
        <x:v>2025</x:v>
      </x:c>
      <x:c r="B41" s="40" t="str">
        <x:v>서울특별시</x:v>
      </x:c>
      <x:c r="C41" s="40" t="str">
        <x:v>국립</x:v>
      </x:c>
      <x:c r="D41" s="40" t="str">
        <x:v>서울과학기술대학교</x:v>
      </x:c>
      <x:c r="E41" s="40" t="str">
        <x:v>다</x:v>
      </x:c>
      <x:c r="F41" s="40" t="str">
        <x:v>수능위주(일반전형)</x:v>
      </x:c>
      <x:c r="G41" s="41" t="str">
        <x:v>자유전공학부(공과대학)</x:v>
      </x:c>
      <x:c r="H41" s="40"/>
      <x:c r="I41" s="40"/>
      <x:c r="J41" s="40" t="n">
        <x:v>73</x:v>
      </x:c>
      <x:c r="K41" s="60" t="n">
        <x:v>7.92</x:v>
      </x:c>
      <x:c r="L41" s="40" t="n">
        <x:v>66</x:v>
      </x:c>
      <x:c r="M41" s="60"/>
      <x:c r="N41" s="60" t="n">
        <x:v>909.43</x:v>
      </x:c>
      <x:c r="O41" s="60" t="n">
        <x:v>1000</x:v>
      </x:c>
      <x:c r="P41" s="62"/>
      <x:c r="Q41" s="62"/>
      <x:c r="R41" s="62"/>
      <x:c r="S41" s="62"/>
      <x:c r="T41" s="62"/>
      <x:c r="U41" s="62"/>
      <x:c r="V41" s="60" t="n">
        <x:v>83.17</x:v>
      </x:c>
      <x:c r="W41" s="60" t="str">
        <x:f>IF(COUNT(P41:S41)&gt;=3,AVERAGE(P41:S41),"")</x:f>
      </x:c>
      <x:c r="X41" s="60" t="n">
        <x:f>IF(V41&lt;&gt;"",V41,W41)</x:f>
        <x:v>83.17</x:v>
      </x:c>
      <x:c r="Y41" s="40" t="str">
        <x:f>IF(V41&lt;&gt;"","공식 70% 평균백분위",IF(W41&lt;&gt;"","파생 단순평균(참고)","비교불가"))</x:f>
        <x:v>공식 70% 평균백분위</x:v>
      </x:c>
      <x:c r="Z41" s="60" t="n">
        <x:f>'추천_테스트'!$B$8</x:f>
        <x:v>80</x:v>
      </x:c>
      <x:c r="AA41" s="60" t="n">
        <x:f>IF(X41="","",Z41-X41)</x:f>
        <x:v>-3.1700000000000017</x:v>
      </x:c>
      <x:c r="AB41" s="40" t="str">
        <x:f>IF(X41="","",IF(AA41&gt;='추천_테스트'!$B$10,"안정",IF(AA41&gt;='추천_테스트'!$B$11,"적정",IF(AA41&gt;='추천_테스트'!$B$12,"소신","상향"))))</x:f>
        <x:v>상향</x:v>
      </x:c>
      <x:c r="AC41" s="62" t="n">
        <x:v>1</x:v>
      </x:c>
      <x:c r="AD41" s="62" t="n">
        <x:v>99</x:v>
      </x:c>
      <x:c r="AE41" s="62" t="n">
        <x:v>0</x:v>
      </x:c>
      <x:c r="AF41" s="41" t="str">
        <x:v>A: 공식 70% 평균백분위 제공</x:v>
      </x:c>
      <x:c r="AG41" s="41" t="str">
        <x:v>https://www.adiga.kr/ucp/uvt/uni/univDetailSelection.do?menuId=PCUVTINF2000&amp;searchSyr=2026&amp;unvCd=0000036</x:v>
      </x:c>
    </x:row>
    <x:row r="42">
      <x:c r="A42" s="40" t="n">
        <x:v>2025</x:v>
      </x:c>
      <x:c r="B42" s="40" t="str">
        <x:v>서울특별시</x:v>
      </x:c>
      <x:c r="C42" s="40" t="str">
        <x:v>국립</x:v>
      </x:c>
      <x:c r="D42" s="40" t="str">
        <x:v>서울과학기술대학교</x:v>
      </x:c>
      <x:c r="E42" s="40" t="str">
        <x:v>다</x:v>
      </x:c>
      <x:c r="F42" s="40" t="str">
        <x:v>수능위주(일반전형)</x:v>
      </x:c>
      <x:c r="G42" s="41" t="str">
        <x:v>자유전공학부(정보통신대학)</x:v>
      </x:c>
      <x:c r="H42" s="40"/>
      <x:c r="I42" s="40"/>
      <x:c r="J42" s="40" t="n">
        <x:v>35</x:v>
      </x:c>
      <x:c r="K42" s="60" t="n">
        <x:v>6.97</x:v>
      </x:c>
      <x:c r="L42" s="40" t="n">
        <x:v>19</x:v>
      </x:c>
      <x:c r="M42" s="60"/>
      <x:c r="N42" s="60" t="n">
        <x:v>913.46</x:v>
      </x:c>
      <x:c r="O42" s="60" t="n">
        <x:v>1000</x:v>
      </x:c>
      <x:c r="P42" s="62"/>
      <x:c r="Q42" s="62"/>
      <x:c r="R42" s="62"/>
      <x:c r="S42" s="62"/>
      <x:c r="T42" s="62"/>
      <x:c r="U42" s="62"/>
      <x:c r="V42" s="60" t="n">
        <x:v>84.33</x:v>
      </x:c>
      <x:c r="W42" s="60" t="str">
        <x:f>IF(COUNT(P42:S42)&gt;=3,AVERAGE(P42:S42),"")</x:f>
      </x:c>
      <x:c r="X42" s="60" t="n">
        <x:f>IF(V42&lt;&gt;"",V42,W42)</x:f>
        <x:v>84.33</x:v>
      </x:c>
      <x:c r="Y42" s="40" t="str">
        <x:f>IF(V42&lt;&gt;"","공식 70% 평균백분위",IF(W42&lt;&gt;"","파생 단순평균(참고)","비교불가"))</x:f>
        <x:v>공식 70% 평균백분위</x:v>
      </x:c>
      <x:c r="Z42" s="60" t="n">
        <x:f>'추천_테스트'!$B$8</x:f>
        <x:v>80</x:v>
      </x:c>
      <x:c r="AA42" s="60" t="n">
        <x:f>IF(X42="","",Z42-X42)</x:f>
        <x:v>-4.329999999999998</x:v>
      </x:c>
      <x:c r="AB42" s="40" t="str">
        <x:f>IF(X42="","",IF(AA42&gt;='추천_테스트'!$B$10,"안정",IF(AA42&gt;='추천_테스트'!$B$11,"적정",IF(AA42&gt;='추천_테스트'!$B$12,"소신","상향"))))</x:f>
        <x:v>상향</x:v>
      </x:c>
      <x:c r="AC42" s="62" t="n">
        <x:v>0</x:v>
      </x:c>
      <x:c r="AD42" s="62" t="n">
        <x:v>97</x:v>
      </x:c>
      <x:c r="AE42" s="62" t="n">
        <x:v>3</x:v>
      </x:c>
      <x:c r="AF42" s="41" t="str">
        <x:v>A: 공식 70% 평균백분위 제공</x:v>
      </x:c>
      <x:c r="AG42" s="41" t="str">
        <x:v>https://www.adiga.kr/ucp/uvt/uni/univDetailSelection.do?menuId=PCUVTINF2000&amp;searchSyr=2026&amp;unvCd=0000036</x:v>
      </x:c>
    </x:row>
    <x:row r="43">
      <x:c r="A43" s="40" t="n">
        <x:v>2025</x:v>
      </x:c>
      <x:c r="B43" s="40" t="str">
        <x:v>전북특별자치도</x:v>
      </x:c>
      <x:c r="C43" s="40" t="str">
        <x:v>국립</x:v>
      </x:c>
      <x:c r="D43" s="40" t="str">
        <x:v>전북대학교</x:v>
      </x:c>
      <x:c r="E43" s="40" t="str">
        <x:v>가</x:v>
      </x:c>
      <x:c r="F43" s="40" t="str">
        <x:v>일반전형</x:v>
      </x:c>
      <x:c r="G43" s="41" t="str">
        <x:v>농업생명과학계열</x:v>
      </x:c>
      <x:c r="H43" s="40" t="n">
        <x:v>111</x:v>
      </x:c>
      <x:c r="I43" s="40" t="n">
        <x:v>11</x:v>
      </x:c>
      <x:c r="J43" s="40" t="n">
        <x:v>122</x:v>
      </x:c>
      <x:c r="K43" s="60" t="n">
        <x:v>5.9</x:v>
      </x:c>
      <x:c r="L43" s="40" t="n">
        <x:v>91</x:v>
      </x:c>
      <x:c r="M43" s="60" t="n">
        <x:v>311.72</x:v>
      </x:c>
      <x:c r="N43" s="60" t="n">
        <x:v>310.48</x:v>
      </x:c>
      <x:c r="O43" s="60" t="n">
        <x:v>500</x:v>
      </x:c>
      <x:c r="P43" s="62" t="n">
        <x:v>68</x:v>
      </x:c>
      <x:c r="Q43" s="62" t="n">
        <x:v>54</x:v>
      </x:c>
      <x:c r="R43" s="62" t="n">
        <x:v>75</x:v>
      </x:c>
      <x:c r="S43" s="62" t="n">
        <x:v>56</x:v>
      </x:c>
      <x:c r="T43" s="62" t="n">
        <x:v>3</x:v>
      </x:c>
      <x:c r="U43" s="62" t="n">
        <x:v>2</x:v>
      </x:c>
      <x:c r="V43" s="60"/>
      <x:c r="W43" s="60" t="n">
        <x:f>IF(COUNT(P43:S43)&gt;=3,AVERAGE(P43:S43),"")</x:f>
        <x:v>63.25</x:v>
      </x:c>
      <x:c r="X43" s="60" t="n">
        <x:f>IF(V43&lt;&gt;"",V43,W43)</x:f>
        <x:v>63.25</x:v>
      </x:c>
      <x:c r="Y43" s="40" t="str">
        <x:f>IF(V43&lt;&gt;"","공식 70% 평균백분위",IF(W43&lt;&gt;"","파생 단순평균(참고)","비교불가"))</x:f>
        <x:v>파생 단순평균(참고)</x:v>
      </x:c>
      <x:c r="Z43" s="60" t="n">
        <x:f>'추천_테스트'!$B$8</x:f>
        <x:v>80</x:v>
      </x:c>
      <x:c r="AA43" s="60" t="n">
        <x:f>IF(X43="","",Z43-X43)</x:f>
        <x:v>16.75</x:v>
      </x:c>
      <x:c r="AB43" s="40" t="str">
        <x:f>IF(X43="","",IF(AA43&gt;='추천_테스트'!$B$10,"안정",IF(AA43&gt;='추천_테스트'!$B$11,"적정",IF(AA43&gt;='추천_테스트'!$B$12,"소신","상향"))))</x:f>
        <x:v>안정</x:v>
      </x:c>
      <x:c r="AC43" s="62" t="n">
        <x:v>18</x:v>
      </x:c>
      <x:c r="AD43" s="62" t="n">
        <x:v>78</x:v>
      </x:c>
      <x:c r="AE43" s="62" t="n">
        <x:v>4</x:v>
      </x:c>
      <x:c r="AF43" s="41" t="str">
        <x:v>B: 공식 과목별 70% 백분위 → 단순평균 파생</x:v>
      </x:c>
      <x:c r="AG43" s="41" t="str">
        <x:v>https://www.adiga.kr/ucp/uvt/uni/univDetailSelection.do?menuId=PCUVTINF2000&amp;searchSyr=2026&amp;unvCd=0000025</x:v>
      </x:c>
    </x:row>
    <x:row r="44">
      <x:c r="A44" s="40" t="n">
        <x:v>2025</x:v>
      </x:c>
      <x:c r="B44" s="40" t="str">
        <x:v>전북특별자치도</x:v>
      </x:c>
      <x:c r="C44" s="40" t="str">
        <x:v>국립</x:v>
      </x:c>
      <x:c r="D44" s="40" t="str">
        <x:v>전북대학교</x:v>
      </x:c>
      <x:c r="E44" s="40" t="str">
        <x:v>가</x:v>
      </x:c>
      <x:c r="F44" s="40" t="str">
        <x:v>일반전형</x:v>
      </x:c>
      <x:c r="G44" s="41" t="str">
        <x:v>스마트팜학과</x:v>
      </x:c>
      <x:c r="H44" s="40" t="n">
        <x:v>9</x:v>
      </x:c>
      <x:c r="I44" s="40" t="n">
        <x:v>1</x:v>
      </x:c>
      <x:c r="J44" s="40" t="n">
        <x:v>10</x:v>
      </x:c>
      <x:c r="K44" s="60" t="n">
        <x:v>5</x:v>
      </x:c>
      <x:c r="L44" s="40" t="n">
        <x:v>7</x:v>
      </x:c>
      <x:c r="M44" s="60" t="n">
        <x:v>317.08</x:v>
      </x:c>
      <x:c r="N44" s="60" t="n">
        <x:v>313.85</x:v>
      </x:c>
      <x:c r="O44" s="60" t="n">
        <x:v>500</x:v>
      </x:c>
      <x:c r="P44" s="62" t="n">
        <x:v>83</x:v>
      </x:c>
      <x:c r="Q44" s="62" t="n">
        <x:v>70</x:v>
      </x:c>
      <x:c r="R44" s="62" t="n">
        <x:v>62</x:v>
      </x:c>
      <x:c r="S44" s="62" t="n">
        <x:v>51</x:v>
      </x:c>
      <x:c r="T44" s="62" t="n">
        <x:v>4</x:v>
      </x:c>
      <x:c r="U44" s="62" t="n">
        <x:v>3</x:v>
      </x:c>
      <x:c r="V44" s="60"/>
      <x:c r="W44" s="60" t="n">
        <x:f>IF(COUNT(P44:S44)&gt;=3,AVERAGE(P44:S44),"")</x:f>
        <x:v>66.5</x:v>
      </x:c>
      <x:c r="X44" s="60" t="n">
        <x:f>IF(V44&lt;&gt;"",V44,W44)</x:f>
        <x:v>66.5</x:v>
      </x:c>
      <x:c r="Y44" s="40" t="str">
        <x:f>IF(V44&lt;&gt;"","공식 70% 평균백분위",IF(W44&lt;&gt;"","파생 단순평균(참고)","비교불가"))</x:f>
        <x:v>파생 단순평균(참고)</x:v>
      </x:c>
      <x:c r="Z44" s="60" t="n">
        <x:f>'추천_테스트'!$B$8</x:f>
        <x:v>80</x:v>
      </x:c>
      <x:c r="AA44" s="60" t="n">
        <x:f>IF(X44="","",Z44-X44)</x:f>
        <x:v>13.5</x:v>
      </x:c>
      <x:c r="AB44" s="40" t="str">
        <x:f>IF(X44="","",IF(AA44&gt;='추천_테스트'!$B$10,"안정",IF(AA44&gt;='추천_테스트'!$B$11,"적정",IF(AA44&gt;='추천_테스트'!$B$12,"소신","상향"))))</x:f>
        <x:v>안정</x:v>
      </x:c>
      <x:c r="AC44" s="62" t="n">
        <x:v>30</x:v>
      </x:c>
      <x:c r="AD44" s="62" t="n">
        <x:v>60</x:v>
      </x:c>
      <x:c r="AE44" s="62" t="n">
        <x:v>10</x:v>
      </x:c>
      <x:c r="AF44" s="41" t="str">
        <x:v>B: 공식 과목별 70% 백분위 → 단순평균 파생</x:v>
      </x:c>
      <x:c r="AG44" s="41" t="str">
        <x:v>https://www.adiga.kr/ucp/uvt/uni/univDetailSelection.do?menuId=PCUVTINF2000&amp;searchSyr=2026&amp;unvCd=0000025</x:v>
      </x:c>
    </x:row>
    <x:row r="45">
      <x:c r="A45" s="40" t="n">
        <x:v>2025</x:v>
      </x:c>
      <x:c r="B45" s="40" t="str">
        <x:v>전북특별자치도</x:v>
      </x:c>
      <x:c r="C45" s="40" t="str">
        <x:v>국립</x:v>
      </x:c>
      <x:c r="D45" s="40" t="str">
        <x:v>전북대학교</x:v>
      </x:c>
      <x:c r="E45" s="40" t="str">
        <x:v>가</x:v>
      </x:c>
      <x:c r="F45" s="40" t="str">
        <x:v>일반전형</x:v>
      </x:c>
      <x:c r="G45" s="41" t="str">
        <x:v>교육학과</x:v>
      </x:c>
      <x:c r="H45" s="40" t="n">
        <x:v>4</x:v>
      </x:c>
      <x:c r="I45" s="40" t="n">
        <x:v>0</x:v>
      </x:c>
      <x:c r="J45" s="40" t="n">
        <x:v>4</x:v>
      </x:c>
      <x:c r="K45" s="60" t="n">
        <x:v>7.5</x:v>
      </x:c>
      <x:c r="L45" s="40" t="n">
        <x:v>4</x:v>
      </x:c>
      <x:c r="M45" s="60" t="n">
        <x:v>313.74</x:v>
      </x:c>
      <x:c r="N45" s="60" t="n">
        <x:v>313.74</x:v>
      </x:c>
      <x:c r="O45" s="60" t="n">
        <x:v>500</x:v>
      </x:c>
      <x:c r="P45" s="62" t="n">
        <x:v>82</x:v>
      </x:c>
      <x:c r="Q45" s="62" t="n">
        <x:v>70</x:v>
      </x:c>
      <x:c r="R45" s="62" t="n">
        <x:v>73</x:v>
      </x:c>
      <x:c r="S45" s="62" t="n">
        <x:v>64</x:v>
      </x:c>
      <x:c r="T45" s="62" t="n">
        <x:v>4</x:v>
      </x:c>
      <x:c r="U45" s="62" t="n">
        <x:v>1</x:v>
      </x:c>
      <x:c r="V45" s="60"/>
      <x:c r="W45" s="60" t="n">
        <x:f>IF(COUNT(P45:S45)&gt;=3,AVERAGE(P45:S45),"")</x:f>
        <x:v>72.25</x:v>
      </x:c>
      <x:c r="X45" s="60" t="n">
        <x:f>IF(V45&lt;&gt;"",V45,W45)</x:f>
        <x:v>72.25</x:v>
      </x:c>
      <x:c r="Y45" s="40" t="str">
        <x:f>IF(V45&lt;&gt;"","공식 70% 평균백분위",IF(W45&lt;&gt;"","파생 단순평균(참고)","비교불가"))</x:f>
        <x:v>파생 단순평균(참고)</x:v>
      </x:c>
      <x:c r="Z45" s="60" t="n">
        <x:f>'추천_테스트'!$B$8</x:f>
        <x:v>80</x:v>
      </x:c>
      <x:c r="AA45" s="60" t="n">
        <x:f>IF(X45="","",Z45-X45)</x:f>
        <x:v>7.75</x:v>
      </x:c>
      <x:c r="AB45" s="40" t="str">
        <x:f>IF(X45="","",IF(AA45&gt;='추천_테스트'!$B$10,"안정",IF(AA45&gt;='추천_테스트'!$B$11,"적정",IF(AA45&gt;='추천_테스트'!$B$12,"소신","상향"))))</x:f>
        <x:v>안정</x:v>
      </x:c>
      <x:c r="AC45" s="62" t="n">
        <x:v>100</x:v>
      </x:c>
      <x:c r="AD45" s="62" t="n">
        <x:v>0</x:v>
      </x:c>
      <x:c r="AE45" s="62" t="n">
        <x:v>0</x:v>
      </x:c>
      <x:c r="AF45" s="41" t="str">
        <x:v>B: 공식 과목별 70% 백분위 → 단순평균 파생</x:v>
      </x:c>
      <x:c r="AG45" s="41" t="str">
        <x:v>https://www.adiga.kr/ucp/uvt/uni/univDetailSelection.do?menuId=PCUVTINF2000&amp;searchSyr=2026&amp;unvCd=0000025</x:v>
      </x:c>
    </x:row>
    <x:row r="46">
      <x:c r="A46" s="40" t="n">
        <x:v>2025</x:v>
      </x:c>
      <x:c r="B46" s="40" t="str">
        <x:v>전북특별자치도</x:v>
      </x:c>
      <x:c r="C46" s="40" t="str">
        <x:v>국립</x:v>
      </x:c>
      <x:c r="D46" s="40" t="str">
        <x:v>전북대학교</x:v>
      </x:c>
      <x:c r="E46" s="40" t="str">
        <x:v>가</x:v>
      </x:c>
      <x:c r="F46" s="40" t="str">
        <x:v>일반전형</x:v>
      </x:c>
      <x:c r="G46" s="41" t="str">
        <x:v>국어교육과</x:v>
      </x:c>
      <x:c r="H46" s="40" t="n">
        <x:v>6</x:v>
      </x:c>
      <x:c r="I46" s="40" t="n">
        <x:v>1</x:v>
      </x:c>
      <x:c r="J46" s="40" t="n">
        <x:v>7</x:v>
      </x:c>
      <x:c r="K46" s="60" t="n">
        <x:v>5.1</x:v>
      </x:c>
      <x:c r="L46" s="40" t="n">
        <x:v>5</x:v>
      </x:c>
      <x:c r="M46" s="60" t="n">
        <x:v>319.97</x:v>
      </x:c>
      <x:c r="N46" s="60" t="n">
        <x:v>319.08</x:v>
      </x:c>
      <x:c r="O46" s="60" t="n">
        <x:v>500</x:v>
      </x:c>
      <x:c r="P46" s="62" t="n">
        <x:v>94</x:v>
      </x:c>
      <x:c r="Q46" s="62" t="n">
        <x:v>54</x:v>
      </x:c>
      <x:c r="R46" s="62" t="n">
        <x:v>77</x:v>
      </x:c>
      <x:c r="S46" s="62" t="n">
        <x:v>92</x:v>
      </x:c>
      <x:c r="T46" s="62" t="n">
        <x:v>5</x:v>
      </x:c>
      <x:c r="U46" s="62" t="n">
        <x:v>4</x:v>
      </x:c>
      <x:c r="V46" s="60"/>
      <x:c r="W46" s="60" t="n">
        <x:f>IF(COUNT(P46:S46)&gt;=3,AVERAGE(P46:S46),"")</x:f>
        <x:v>79.25</x:v>
      </x:c>
      <x:c r="X46" s="60" t="n">
        <x:f>IF(V46&lt;&gt;"",V46,W46)</x:f>
        <x:v>79.25</x:v>
      </x:c>
      <x:c r="Y46" s="40" t="str">
        <x:f>IF(V46&lt;&gt;"","공식 70% 평균백분위",IF(W46&lt;&gt;"","파생 단순평균(참고)","비교불가"))</x:f>
        <x:v>파생 단순평균(참고)</x:v>
      </x:c>
      <x:c r="Z46" s="60" t="n">
        <x:f>'추천_테스트'!$B$8</x:f>
        <x:v>80</x:v>
      </x:c>
      <x:c r="AA46" s="60" t="n">
        <x:f>IF(X46="","",Z46-X46)</x:f>
        <x:v>0.75</x:v>
      </x:c>
      <x:c r="AB46" s="40" t="str">
        <x:f>IF(X46="","",IF(AA46&gt;='추천_테스트'!$B$10,"안정",IF(AA46&gt;='추천_테스트'!$B$11,"적정",IF(AA46&gt;='추천_테스트'!$B$12,"소신","상향"))))</x:f>
        <x:v>소신</x:v>
      </x:c>
      <x:c r="AC46" s="62" t="n">
        <x:v>71</x:v>
      </x:c>
      <x:c r="AD46" s="62" t="n">
        <x:v>29</x:v>
      </x:c>
      <x:c r="AE46" s="62" t="n">
        <x:v>0</x:v>
      </x:c>
      <x:c r="AF46" s="41" t="str">
        <x:v>B: 공식 과목별 70% 백분위 → 단순평균 파생</x:v>
      </x:c>
      <x:c r="AG46" s="41" t="str">
        <x:v>https://www.adiga.kr/ucp/uvt/uni/univDetailSelection.do?menuId=PCUVTINF2000&amp;searchSyr=2026&amp;unvCd=0000025</x:v>
      </x:c>
    </x:row>
    <x:row r="47">
      <x:c r="A47" s="40" t="n">
        <x:v>2025</x:v>
      </x:c>
      <x:c r="B47" s="40" t="str">
        <x:v>전북특별자치도</x:v>
      </x:c>
      <x:c r="C47" s="40" t="str">
        <x:v>국립</x:v>
      </x:c>
      <x:c r="D47" s="40" t="str">
        <x:v>전북대학교</x:v>
      </x:c>
      <x:c r="E47" s="40" t="str">
        <x:v>가</x:v>
      </x:c>
      <x:c r="F47" s="40" t="str">
        <x:v>일반전형</x:v>
      </x:c>
      <x:c r="G47" s="41" t="str">
        <x:v>영어교육과</x:v>
      </x:c>
      <x:c r="H47" s="40" t="n">
        <x:v>6</x:v>
      </x:c>
      <x:c r="I47" s="40" t="n">
        <x:v>1</x:v>
      </x:c>
      <x:c r="J47" s="40" t="n">
        <x:v>7</x:v>
      </x:c>
      <x:c r="K47" s="60" t="n">
        <x:v>5.3</x:v>
      </x:c>
      <x:c r="L47" s="40" t="n">
        <x:v>16</x:v>
      </x:c>
      <x:c r="M47" s="60" t="n">
        <x:v>315.17</x:v>
      </x:c>
      <x:c r="N47" s="60" t="n">
        <x:v>313.4</x:v>
      </x:c>
      <x:c r="O47" s="60" t="n">
        <x:v>500</x:v>
      </x:c>
      <x:c r="P47" s="62" t="n">
        <x:v>65</x:v>
      </x:c>
      <x:c r="Q47" s="62" t="n">
        <x:v>78</x:v>
      </x:c>
      <x:c r="R47" s="62" t="n">
        <x:v>74</x:v>
      </x:c>
      <x:c r="S47" s="62" t="n">
        <x:v>68</x:v>
      </x:c>
      <x:c r="T47" s="62" t="n">
        <x:v>3</x:v>
      </x:c>
      <x:c r="U47" s="62" t="n">
        <x:v>1</x:v>
      </x:c>
      <x:c r="V47" s="60"/>
      <x:c r="W47" s="60" t="n">
        <x:f>IF(COUNT(P47:S47)&gt;=3,AVERAGE(P47:S47),"")</x:f>
        <x:v>71.25</x:v>
      </x:c>
      <x:c r="X47" s="60" t="n">
        <x:f>IF(V47&lt;&gt;"",V47,W47)</x:f>
        <x:v>71.25</x:v>
      </x:c>
      <x:c r="Y47" s="40" t="str">
        <x:f>IF(V47&lt;&gt;"","공식 70% 평균백분위",IF(W47&lt;&gt;"","파생 단순평균(참고)","비교불가"))</x:f>
        <x:v>파생 단순평균(참고)</x:v>
      </x:c>
      <x:c r="Z47" s="60" t="n">
        <x:f>'추천_테스트'!$B$8</x:f>
        <x:v>80</x:v>
      </x:c>
      <x:c r="AA47" s="60" t="n">
        <x:f>IF(X47="","",Z47-X47)</x:f>
        <x:v>8.75</x:v>
      </x:c>
      <x:c r="AB47" s="40" t="str">
        <x:f>IF(X47="","",IF(AA47&gt;='추천_테스트'!$B$10,"안정",IF(AA47&gt;='추천_테스트'!$B$11,"적정",IF(AA47&gt;='추천_테스트'!$B$12,"소신","상향"))))</x:f>
        <x:v>안정</x:v>
      </x:c>
      <x:c r="AC47" s="62" t="n">
        <x:v>57</x:v>
      </x:c>
      <x:c r="AD47" s="62" t="n">
        <x:v>43</x:v>
      </x:c>
      <x:c r="AE47" s="62" t="n">
        <x:v>0</x:v>
      </x:c>
      <x:c r="AF47" s="41" t="str">
        <x:v>B: 공식 과목별 70% 백분위 → 단순평균 파생</x:v>
      </x:c>
      <x:c r="AG47" s="41" t="str">
        <x:v>https://www.adiga.kr/ucp/uvt/uni/univDetailSelection.do?menuId=PCUVTINF2000&amp;searchSyr=2026&amp;unvCd=0000025</x:v>
      </x:c>
    </x:row>
    <x:row r="48">
      <x:c r="A48" s="40" t="n">
        <x:v>2025</x:v>
      </x:c>
      <x:c r="B48" s="40" t="str">
        <x:v>전북특별자치도</x:v>
      </x:c>
      <x:c r="C48" s="40" t="str">
        <x:v>국립</x:v>
      </x:c>
      <x:c r="D48" s="40" t="str">
        <x:v>전북대학교</x:v>
      </x:c>
      <x:c r="E48" s="40" t="str">
        <x:v>가</x:v>
      </x:c>
      <x:c r="F48" s="40" t="str">
        <x:v>일반전형</x:v>
      </x:c>
      <x:c r="G48" s="41" t="str">
        <x:v>사회과교육학부</x:v>
      </x:c>
      <x:c r="H48" s="40" t="n">
        <x:v>11</x:v>
      </x:c>
      <x:c r="I48" s="40" t="n">
        <x:v>0</x:v>
      </x:c>
      <x:c r="J48" s="40" t="n">
        <x:v>11</x:v>
      </x:c>
      <x:c r="K48" s="60" t="n">
        <x:v>6.2</x:v>
      </x:c>
      <x:c r="L48" s="40" t="n">
        <x:v>11</x:v>
      </x:c>
      <x:c r="M48" s="60" t="n">
        <x:v>322.31</x:v>
      </x:c>
      <x:c r="N48" s="60" t="n">
        <x:v>317.31</x:v>
      </x:c>
      <x:c r="O48" s="60" t="n">
        <x:v>500</x:v>
      </x:c>
      <x:c r="P48" s="62" t="n">
        <x:v>65</x:v>
      </x:c>
      <x:c r="Q48" s="62" t="n">
        <x:v>59</x:v>
      </x:c>
      <x:c r="R48" s="62" t="n">
        <x:v>87</x:v>
      </x:c>
      <x:c r="S48" s="62" t="n">
        <x:v>93</x:v>
      </x:c>
      <x:c r="T48" s="62" t="n">
        <x:v>3</x:v>
      </x:c>
      <x:c r="U48" s="62" t="n">
        <x:v>2</x:v>
      </x:c>
      <x:c r="V48" s="60"/>
      <x:c r="W48" s="60" t="n">
        <x:f>IF(COUNT(P48:S48)&gt;=3,AVERAGE(P48:S48),"")</x:f>
        <x:v>76</x:v>
      </x:c>
      <x:c r="X48" s="60" t="n">
        <x:f>IF(V48&lt;&gt;"",V48,W48)</x:f>
        <x:v>76</x:v>
      </x:c>
      <x:c r="Y48" s="40" t="str">
        <x:f>IF(V48&lt;&gt;"","공식 70% 평균백분위",IF(W48&lt;&gt;"","파생 단순평균(참고)","비교불가"))</x:f>
        <x:v>파생 단순평균(참고)</x:v>
      </x:c>
      <x:c r="Z48" s="60" t="n">
        <x:f>'추천_테스트'!$B$8</x:f>
        <x:v>80</x:v>
      </x:c>
      <x:c r="AA48" s="60" t="n">
        <x:f>IF(X48="","",Z48-X48)</x:f>
        <x:v>4</x:v>
      </x:c>
      <x:c r="AB48" s="40" t="str">
        <x:f>IF(X48="","",IF(AA48&gt;='추천_테스트'!$B$10,"안정",IF(AA48&gt;='추천_테스트'!$B$11,"적정",IF(AA48&gt;='추천_테스트'!$B$12,"소신","상향"))))</x:f>
        <x:v>적정</x:v>
      </x:c>
      <x:c r="AC48" s="62" t="n">
        <x:v>82</x:v>
      </x:c>
      <x:c r="AD48" s="62" t="n">
        <x:v>18</x:v>
      </x:c>
      <x:c r="AE48" s="62" t="n">
        <x:v>0</x:v>
      </x:c>
      <x:c r="AF48" s="41" t="str">
        <x:v>B: 공식 과목별 70% 백분위 → 단순평균 파생</x:v>
      </x:c>
      <x:c r="AG48" s="41" t="str">
        <x:v>https://www.adiga.kr/ucp/uvt/uni/univDetailSelection.do?menuId=PCUVTINF2000&amp;searchSyr=2026&amp;unvCd=0000025</x:v>
      </x:c>
    </x:row>
    <x:row r="49">
      <x:c r="A49" s="40" t="n">
        <x:v>2025</x:v>
      </x:c>
      <x:c r="B49" s="40" t="str">
        <x:v>전북특별자치도</x:v>
      </x:c>
      <x:c r="C49" s="40" t="str">
        <x:v>국립</x:v>
      </x:c>
      <x:c r="D49" s="40" t="str">
        <x:v>전북대학교</x:v>
      </x:c>
      <x:c r="E49" s="40" t="str">
        <x:v>가</x:v>
      </x:c>
      <x:c r="F49" s="40" t="str">
        <x:v>일반전형</x:v>
      </x:c>
      <x:c r="G49" s="41" t="str">
        <x:v>과학교육학부</x:v>
      </x:c>
      <x:c r="H49" s="40" t="n">
        <x:v>16</x:v>
      </x:c>
      <x:c r="I49" s="40" t="n">
        <x:v>1</x:v>
      </x:c>
      <x:c r="J49" s="40" t="n">
        <x:v>17</x:v>
      </x:c>
      <x:c r="K49" s="60" t="n">
        <x:v>4.4</x:v>
      </x:c>
      <x:c r="L49" s="40" t="n">
        <x:v>16</x:v>
      </x:c>
      <x:c r="M49" s="60" t="n">
        <x:v>306.89</x:v>
      </x:c>
      <x:c r="N49" s="60" t="n">
        <x:v>304.8</x:v>
      </x:c>
      <x:c r="O49" s="60" t="n">
        <x:v>500</x:v>
      </x:c>
      <x:c r="P49" s="62" t="n">
        <x:v>58</x:v>
      </x:c>
      <x:c r="Q49" s="62" t="n">
        <x:v>76</x:v>
      </x:c>
      <x:c r="R49" s="62" t="n">
        <x:v>45</x:v>
      </x:c>
      <x:c r="S49" s="62" t="n">
        <x:v>75</x:v>
      </x:c>
      <x:c r="T49" s="62" t="n">
        <x:v>3</x:v>
      </x:c>
      <x:c r="U49" s="62" t="n">
        <x:v>2</x:v>
      </x:c>
      <x:c r="V49" s="60"/>
      <x:c r="W49" s="60" t="n">
        <x:f>IF(COUNT(P49:S49)&gt;=3,AVERAGE(P49:S49),"")</x:f>
        <x:v>63.5</x:v>
      </x:c>
      <x:c r="X49" s="60" t="n">
        <x:f>IF(V49&lt;&gt;"",V49,W49)</x:f>
        <x:v>63.5</x:v>
      </x:c>
      <x:c r="Y49" s="40" t="str">
        <x:f>IF(V49&lt;&gt;"","공식 70% 평균백분위",IF(W49&lt;&gt;"","파생 단순평균(참고)","비교불가"))</x:f>
        <x:v>파생 단순평균(참고)</x:v>
      </x:c>
      <x:c r="Z49" s="60" t="n">
        <x:f>'추천_테스트'!$B$8</x:f>
        <x:v>80</x:v>
      </x:c>
      <x:c r="AA49" s="60" t="n">
        <x:f>IF(X49="","",Z49-X49)</x:f>
        <x:v>16.5</x:v>
      </x:c>
      <x:c r="AB49" s="40" t="str">
        <x:f>IF(X49="","",IF(AA49&gt;='추천_테스트'!$B$10,"안정",IF(AA49&gt;='추천_테스트'!$B$11,"적정",IF(AA49&gt;='추천_테스트'!$B$12,"소신","상향"))))</x:f>
        <x:v>안정</x:v>
      </x:c>
      <x:c r="AC49" s="62" t="n">
        <x:v>0</x:v>
      </x:c>
      <x:c r="AD49" s="62" t="n">
        <x:v>94</x:v>
      </x:c>
      <x:c r="AE49" s="62" t="n">
        <x:v>6</x:v>
      </x:c>
      <x:c r="AF49" s="41" t="str">
        <x:v>B: 공식 과목별 70% 백분위 → 단순평균 파생</x:v>
      </x:c>
      <x:c r="AG49" s="41" t="str">
        <x:v>https://www.adiga.kr/ucp/uvt/uni/univDetailSelection.do?menuId=PCUVTINF2000&amp;searchSyr=2026&amp;unvCd=0000025</x:v>
      </x:c>
    </x:row>
    <x:row r="50">
      <x:c r="A50" s="40" t="n">
        <x:v>2025</x:v>
      </x:c>
      <x:c r="B50" s="40" t="str">
        <x:v>전북특별자치도</x:v>
      </x:c>
      <x:c r="C50" s="40" t="str">
        <x:v>국립</x:v>
      </x:c>
      <x:c r="D50" s="40" t="str">
        <x:v>전북대학교</x:v>
      </x:c>
      <x:c r="E50" s="40" t="str">
        <x:v>가</x:v>
      </x:c>
      <x:c r="F50" s="40" t="str">
        <x:v>일반전형</x:v>
      </x:c>
      <x:c r="G50" s="41" t="str">
        <x:v>수학교육과</x:v>
      </x:c>
      <x:c r="H50" s="40" t="n">
        <x:v>6</x:v>
      </x:c>
      <x:c r="I50" s="40" t="n">
        <x:v>1</x:v>
      </x:c>
      <x:c r="J50" s="40" t="n">
        <x:v>7</x:v>
      </x:c>
      <x:c r="K50" s="60" t="n">
        <x:v>6.1</x:v>
      </x:c>
      <x:c r="L50" s="40" t="n">
        <x:v>5</x:v>
      </x:c>
      <x:c r="M50" s="60" t="n">
        <x:v>332.41</x:v>
      </x:c>
      <x:c r="N50" s="60" t="n">
        <x:v>328.5</x:v>
      </x:c>
      <x:c r="O50" s="60" t="n">
        <x:v>500</x:v>
      </x:c>
      <x:c r="P50" s="62" t="n">
        <x:v>85</x:v>
      </x:c>
      <x:c r="Q50" s="62" t="n">
        <x:v>87</x:v>
      </x:c>
      <x:c r="R50" s="62" t="n">
        <x:v>62</x:v>
      </x:c>
      <x:c r="S50" s="62" t="n">
        <x:v>56</x:v>
      </x:c>
      <x:c r="T50" s="62" t="n">
        <x:v>2</x:v>
      </x:c>
      <x:c r="U50" s="62" t="n">
        <x:v>1</x:v>
      </x:c>
      <x:c r="V50" s="60"/>
      <x:c r="W50" s="60" t="n">
        <x:f>IF(COUNT(P50:S50)&gt;=3,AVERAGE(P50:S50),"")</x:f>
        <x:v>72.5</x:v>
      </x:c>
      <x:c r="X50" s="60" t="n">
        <x:f>IF(V50&lt;&gt;"",V50,W50)</x:f>
        <x:v>72.5</x:v>
      </x:c>
      <x:c r="Y50" s="40" t="str">
        <x:f>IF(V50&lt;&gt;"","공식 70% 평균백분위",IF(W50&lt;&gt;"","파생 단순평균(참고)","비교불가"))</x:f>
        <x:v>파생 단순평균(참고)</x:v>
      </x:c>
      <x:c r="Z50" s="60" t="n">
        <x:f>'추천_테스트'!$B$8</x:f>
        <x:v>80</x:v>
      </x:c>
      <x:c r="AA50" s="60" t="n">
        <x:f>IF(X50="","",Z50-X50)</x:f>
        <x:v>7.5</x:v>
      </x:c>
      <x:c r="AB50" s="40" t="str">
        <x:f>IF(X50="","",IF(AA50&gt;='추천_테스트'!$B$10,"안정",IF(AA50&gt;='추천_테스트'!$B$11,"적정",IF(AA50&gt;='추천_테스트'!$B$12,"소신","상향"))))</x:f>
        <x:v>안정</x:v>
      </x:c>
      <x:c r="AC50" s="62" t="n">
        <x:v>0</x:v>
      </x:c>
      <x:c r="AD50" s="62" t="n">
        <x:v>100</x:v>
      </x:c>
      <x:c r="AE50" s="62" t="n">
        <x:v>0</x:v>
      </x:c>
      <x:c r="AF50" s="41" t="str">
        <x:v>B: 공식 과목별 70% 백분위 → 단순평균 파생</x:v>
      </x:c>
      <x:c r="AG50" s="41" t="str">
        <x:v>https://www.adiga.kr/ucp/uvt/uni/univDetailSelection.do?menuId=PCUVTINF2000&amp;searchSyr=2026&amp;unvCd=0000025</x:v>
      </x:c>
    </x:row>
    <x:row r="51">
      <x:c r="A51" s="40" t="n">
        <x:v>2025</x:v>
      </x:c>
      <x:c r="B51" s="40" t="str">
        <x:v>전북특별자치도</x:v>
      </x:c>
      <x:c r="C51" s="40" t="str">
        <x:v>국립</x:v>
      </x:c>
      <x:c r="D51" s="40" t="str">
        <x:v>전북대학교</x:v>
      </x:c>
      <x:c r="E51" s="40" t="str">
        <x:v>가</x:v>
      </x:c>
      <x:c r="F51" s="40" t="str">
        <x:v>일반전형</x:v>
      </x:c>
      <x:c r="G51" s="41" t="str">
        <x:v>경상계열</x:v>
      </x:c>
      <x:c r="H51" s="40" t="n">
        <x:v>84</x:v>
      </x:c>
      <x:c r="I51" s="40" t="n">
        <x:v>13</x:v>
      </x:c>
      <x:c r="J51" s="40" t="n">
        <x:v>97</x:v>
      </x:c>
      <x:c r="K51" s="60" t="n">
        <x:v>4.9</x:v>
      </x:c>
      <x:c r="L51" s="40" t="n">
        <x:v>65</x:v>
      </x:c>
      <x:c r="M51" s="60" t="n">
        <x:v>313.14</x:v>
      </x:c>
      <x:c r="N51" s="60" t="n">
        <x:v>311.12</x:v>
      </x:c>
      <x:c r="O51" s="60" t="n">
        <x:v>500</x:v>
      </x:c>
      <x:c r="P51" s="62" t="n">
        <x:v>79</x:v>
      </x:c>
      <x:c r="Q51" s="62" t="n">
        <x:v>47</x:v>
      </x:c>
      <x:c r="R51" s="62" t="n">
        <x:v>83</x:v>
      </x:c>
      <x:c r="S51" s="62" t="n">
        <x:v>89</x:v>
      </x:c>
      <x:c r="T51" s="62" t="n">
        <x:v>4</x:v>
      </x:c>
      <x:c r="U51" s="62" t="n">
        <x:v>2</x:v>
      </x:c>
      <x:c r="V51" s="60"/>
      <x:c r="W51" s="60" t="n">
        <x:f>IF(COUNT(P51:S51)&gt;=3,AVERAGE(P51:S51),"")</x:f>
        <x:v>74.5</x:v>
      </x:c>
      <x:c r="X51" s="60" t="n">
        <x:f>IF(V51&lt;&gt;"",V51,W51)</x:f>
        <x:v>74.5</x:v>
      </x:c>
      <x:c r="Y51" s="40" t="str">
        <x:f>IF(V51&lt;&gt;"","공식 70% 평균백분위",IF(W51&lt;&gt;"","파생 단순평균(참고)","비교불가"))</x:f>
        <x:v>파생 단순평균(참고)</x:v>
      </x:c>
      <x:c r="Z51" s="60" t="n">
        <x:f>'추천_테스트'!$B$8</x:f>
        <x:v>80</x:v>
      </x:c>
      <x:c r="AA51" s="60" t="n">
        <x:f>IF(X51="","",Z51-X51)</x:f>
        <x:v>5.5</x:v>
      </x:c>
      <x:c r="AB51" s="40" t="str">
        <x:f>IF(X51="","",IF(AA51&gt;='추천_테스트'!$B$10,"안정",IF(AA51&gt;='추천_테스트'!$B$11,"적정",IF(AA51&gt;='추천_테스트'!$B$12,"소신","상향"))))</x:f>
        <x:v>안정</x:v>
      </x:c>
      <x:c r="AC51" s="62" t="n">
        <x:v>74</x:v>
      </x:c>
      <x:c r="AD51" s="62" t="n">
        <x:v>23</x:v>
      </x:c>
      <x:c r="AE51" s="62" t="n">
        <x:v>3</x:v>
      </x:c>
      <x:c r="AF51" s="41" t="str">
        <x:v>B: 공식 과목별 70% 백분위 → 단순평균 파생</x:v>
      </x:c>
      <x:c r="AG51" s="41" t="str">
        <x:v>https://www.adiga.kr/ucp/uvt/uni/univDetailSelection.do?menuId=PCUVTINF2000&amp;searchSyr=2026&amp;unvCd=0000025</x:v>
      </x:c>
    </x:row>
    <x:row r="52">
      <x:c r="A52" s="40" t="n">
        <x:v>2025</x:v>
      </x:c>
      <x:c r="B52" s="40" t="str">
        <x:v>전북특별자치도</x:v>
      </x:c>
      <x:c r="C52" s="40" t="str">
        <x:v>국립</x:v>
      </x:c>
      <x:c r="D52" s="40" t="str">
        <x:v>전북대학교</x:v>
      </x:c>
      <x:c r="E52" s="40" t="str">
        <x:v>가</x:v>
      </x:c>
      <x:c r="F52" s="40" t="str">
        <x:v>일반전형</x:v>
      </x:c>
      <x:c r="G52" s="41" t="str">
        <x:v>생활과학계열</x:v>
      </x:c>
      <x:c r="H52" s="40" t="n">
        <x:v>29</x:v>
      </x:c>
      <x:c r="I52" s="40" t="n">
        <x:v>3</x:v>
      </x:c>
      <x:c r="J52" s="40" t="n">
        <x:v>32</x:v>
      </x:c>
      <x:c r="K52" s="60" t="n">
        <x:v>5.4</x:v>
      </x:c>
      <x:c r="L52" s="40" t="n">
        <x:v>13</x:v>
      </x:c>
      <x:c r="M52" s="60" t="n">
        <x:v>309.74</x:v>
      </x:c>
      <x:c r="N52" s="60" t="n">
        <x:v>308.79</x:v>
      </x:c>
      <x:c r="O52" s="60" t="n">
        <x:v>500</x:v>
      </x:c>
      <x:c r="P52" s="62" t="n">
        <x:v>67</x:v>
      </x:c>
      <x:c r="Q52" s="62" t="n">
        <x:v>70</x:v>
      </x:c>
      <x:c r="R52" s="62" t="n">
        <x:v>66</x:v>
      </x:c>
      <x:c r="S52" s="62" t="n">
        <x:v>64</x:v>
      </x:c>
      <x:c r="T52" s="62" t="n">
        <x:v>3</x:v>
      </x:c>
      <x:c r="U52" s="62" t="n">
        <x:v>5</x:v>
      </x:c>
      <x:c r="V52" s="60"/>
      <x:c r="W52" s="60" t="n">
        <x:f>IF(COUNT(P52:S52)&gt;=3,AVERAGE(P52:S52),"")</x:f>
        <x:v>66.75</x:v>
      </x:c>
      <x:c r="X52" s="60" t="n">
        <x:f>IF(V52&lt;&gt;"",V52,W52)</x:f>
        <x:v>66.75</x:v>
      </x:c>
      <x:c r="Y52" s="40" t="str">
        <x:f>IF(V52&lt;&gt;"","공식 70% 평균백분위",IF(W52&lt;&gt;"","파생 단순평균(참고)","비교불가"))</x:f>
        <x:v>파생 단순평균(참고)</x:v>
      </x:c>
      <x:c r="Z52" s="60" t="n">
        <x:f>'추천_테스트'!$B$8</x:f>
        <x:v>80</x:v>
      </x:c>
      <x:c r="AA52" s="60" t="n">
        <x:f>IF(X52="","",Z52-X52)</x:f>
        <x:v>13.25</x:v>
      </x:c>
      <x:c r="AB52" s="40" t="str">
        <x:f>IF(X52="","",IF(AA52&gt;='추천_테스트'!$B$10,"안정",IF(AA52&gt;='추천_테스트'!$B$11,"적정",IF(AA52&gt;='추천_테스트'!$B$12,"소신","상향"))))</x:f>
        <x:v>안정</x:v>
      </x:c>
      <x:c r="AC52" s="62" t="n">
        <x:v>66</x:v>
      </x:c>
      <x:c r="AD52" s="62" t="n">
        <x:v>31</x:v>
      </x:c>
      <x:c r="AE52" s="62" t="n">
        <x:v>3</x:v>
      </x:c>
      <x:c r="AF52" s="41" t="str">
        <x:v>B: 공식 과목별 70% 백분위 → 단순평균 파생</x:v>
      </x:c>
      <x:c r="AG52" s="41" t="str">
        <x:v>https://www.adiga.kr/ucp/uvt/uni/univDetailSelection.do?menuId=PCUVTINF2000&amp;searchSyr=2026&amp;unvCd=0000025</x:v>
      </x:c>
    </x:row>
    <x:row r="53">
      <x:c r="A53" s="40" t="n">
        <x:v>2025</x:v>
      </x:c>
      <x:c r="B53" s="40" t="str">
        <x:v>전북특별자치도</x:v>
      </x:c>
      <x:c r="C53" s="40" t="str">
        <x:v>국립</x:v>
      </x:c>
      <x:c r="D53" s="40" t="str">
        <x:v>전북대학교</x:v>
      </x:c>
      <x:c r="E53" s="40" t="str">
        <x:v>가</x:v>
      </x:c>
      <x:c r="F53" s="40" t="str">
        <x:v>일반전형</x:v>
      </x:c>
      <x:c r="G53" s="41" t="str">
        <x:v>인문계열</x:v>
      </x:c>
      <x:c r="H53" s="40" t="n">
        <x:v>90</x:v>
      </x:c>
      <x:c r="I53" s="40" t="n">
        <x:v>0</x:v>
      </x:c>
      <x:c r="J53" s="40" t="n">
        <x:v>90</x:v>
      </x:c>
      <x:c r="K53" s="60" t="n">
        <x:v>5.6</x:v>
      </x:c>
      <x:c r="L53" s="40" t="n">
        <x:v>61</x:v>
      </x:c>
      <x:c r="M53" s="60" t="n">
        <x:v>310.58</x:v>
      </x:c>
      <x:c r="N53" s="60" t="n">
        <x:v>309.24</x:v>
      </x:c>
      <x:c r="O53" s="60" t="n">
        <x:v>500</x:v>
      </x:c>
      <x:c r="P53" s="62" t="n">
        <x:v>79</x:v>
      </x:c>
      <x:c r="Q53" s="62" t="n">
        <x:v>40</x:v>
      </x:c>
      <x:c r="R53" s="62" t="n">
        <x:v>95</x:v>
      </x:c>
      <x:c r="S53" s="62" t="n">
        <x:v>86</x:v>
      </x:c>
      <x:c r="T53" s="62" t="n">
        <x:v>4</x:v>
      </x:c>
      <x:c r="U53" s="62" t="n">
        <x:v>1</x:v>
      </x:c>
      <x:c r="V53" s="60"/>
      <x:c r="W53" s="60" t="n">
        <x:f>IF(COUNT(P53:S53)&gt;=3,AVERAGE(P53:S53),"")</x:f>
        <x:v>75</x:v>
      </x:c>
      <x:c r="X53" s="60" t="n">
        <x:f>IF(V53&lt;&gt;"",V53,W53)</x:f>
        <x:v>75</x:v>
      </x:c>
      <x:c r="Y53" s="40" t="str">
        <x:f>IF(V53&lt;&gt;"","공식 70% 평균백분위",IF(W53&lt;&gt;"","파생 단순평균(참고)","비교불가"))</x:f>
        <x:v>파생 단순평균(참고)</x:v>
      </x:c>
      <x:c r="Z53" s="60" t="n">
        <x:f>'추천_테스트'!$B$8</x:f>
        <x:v>80</x:v>
      </x:c>
      <x:c r="AA53" s="60" t="n">
        <x:f>IF(X53="","",Z53-X53)</x:f>
        <x:v>5</x:v>
      </x:c>
      <x:c r="AB53" s="40" t="str">
        <x:f>IF(X53="","",IF(AA53&gt;='추천_테스트'!$B$10,"안정",IF(AA53&gt;='추천_테스트'!$B$11,"적정",IF(AA53&gt;='추천_테스트'!$B$12,"소신","상향"))))</x:f>
        <x:v>안정</x:v>
      </x:c>
      <x:c r="AC53" s="62" t="n">
        <x:v>85</x:v>
      </x:c>
      <x:c r="AD53" s="62" t="n">
        <x:v>12</x:v>
      </x:c>
      <x:c r="AE53" s="62" t="n">
        <x:v>2</x:v>
      </x:c>
      <x:c r="AF53" s="41" t="str">
        <x:v>B: 공식 과목별 70% 백분위 → 단순평균 파생</x:v>
      </x:c>
      <x:c r="AG53" s="41" t="str">
        <x:v>https://www.adiga.kr/ucp/uvt/uni/univDetailSelection.do?menuId=PCUVTINF2000&amp;searchSyr=2026&amp;unvCd=0000025</x:v>
      </x:c>
    </x:row>
    <x:row r="54">
      <x:c r="A54" s="40" t="n">
        <x:v>2025</x:v>
      </x:c>
      <x:c r="B54" s="40" t="str">
        <x:v>전북특별자치도</x:v>
      </x:c>
      <x:c r="C54" s="40" t="str">
        <x:v>국립</x:v>
      </x:c>
      <x:c r="D54" s="40" t="str">
        <x:v>전북대학교</x:v>
      </x:c>
      <x:c r="E54" s="40" t="str">
        <x:v>가</x:v>
      </x:c>
      <x:c r="F54" s="40" t="str">
        <x:v>일반전형</x:v>
      </x:c>
      <x:c r="G54" s="41" t="str">
        <x:v>자연과학계열1</x:v>
      </x:c>
      <x:c r="H54" s="40" t="n">
        <x:v>49</x:v>
      </x:c>
      <x:c r="I54" s="40" t="n">
        <x:v>5</x:v>
      </x:c>
      <x:c r="J54" s="40" t="n">
        <x:v>54</x:v>
      </x:c>
      <x:c r="K54" s="60" t="n">
        <x:v>4.7</x:v>
      </x:c>
      <x:c r="L54" s="40" t="n">
        <x:v>64</x:v>
      </x:c>
      <x:c r="M54" s="60" t="n">
        <x:v>313.95</x:v>
      </x:c>
      <x:c r="N54" s="60" t="n">
        <x:v>312.22</x:v>
      </x:c>
      <x:c r="O54" s="60" t="n">
        <x:v>500</x:v>
      </x:c>
      <x:c r="P54" s="62" t="n">
        <x:v>72</x:v>
      </x:c>
      <x:c r="Q54" s="62" t="n">
        <x:v>68</x:v>
      </x:c>
      <x:c r="R54" s="62" t="n">
        <x:v>81</x:v>
      </x:c>
      <x:c r="S54" s="62" t="n">
        <x:v>47</x:v>
      </x:c>
      <x:c r="T54" s="62" t="n">
        <x:v>4</x:v>
      </x:c>
      <x:c r="U54" s="62" t="n">
        <x:v>3</x:v>
      </x:c>
      <x:c r="V54" s="60"/>
      <x:c r="W54" s="60" t="n">
        <x:f>IF(COUNT(P54:S54)&gt;=3,AVERAGE(P54:S54),"")</x:f>
        <x:v>67</x:v>
      </x:c>
      <x:c r="X54" s="60" t="n">
        <x:f>IF(V54&lt;&gt;"",V54,W54)</x:f>
        <x:v>67</x:v>
      </x:c>
      <x:c r="Y54" s="40" t="str">
        <x:f>IF(V54&lt;&gt;"","공식 70% 평균백분위",IF(W54&lt;&gt;"","파생 단순평균(참고)","비교불가"))</x:f>
        <x:v>파생 단순평균(참고)</x:v>
      </x:c>
      <x:c r="Z54" s="60" t="n">
        <x:f>'추천_테스트'!$B$8</x:f>
        <x:v>80</x:v>
      </x:c>
      <x:c r="AA54" s="60" t="n">
        <x:f>IF(X54="","",Z54-X54)</x:f>
        <x:v>13</x:v>
      </x:c>
      <x:c r="AB54" s="40" t="str">
        <x:f>IF(X54="","",IF(AA54&gt;='추천_테스트'!$B$10,"안정",IF(AA54&gt;='추천_테스트'!$B$11,"적정",IF(AA54&gt;='추천_테스트'!$B$12,"소신","상향"))))</x:f>
        <x:v>안정</x:v>
      </x:c>
      <x:c r="AC54" s="62" t="n">
        <x:v>9</x:v>
      </x:c>
      <x:c r="AD54" s="62" t="n">
        <x:v>87</x:v>
      </x:c>
      <x:c r="AE54" s="62" t="n">
        <x:v>4</x:v>
      </x:c>
      <x:c r="AF54" s="41" t="str">
        <x:v>B: 공식 과목별 70% 백분위 → 단순평균 파생</x:v>
      </x:c>
      <x:c r="AG54" s="41" t="str">
        <x:v>https://www.adiga.kr/ucp/uvt/uni/univDetailSelection.do?menuId=PCUVTINF2000&amp;searchSyr=2026&amp;unvCd=0000025</x:v>
      </x:c>
    </x:row>
    <x:row r="55">
      <x:c r="A55" s="40" t="n">
        <x:v>2025</x:v>
      </x:c>
      <x:c r="B55" s="40" t="str">
        <x:v>전북특별자치도</x:v>
      </x:c>
      <x:c r="C55" s="40" t="str">
        <x:v>국립</x:v>
      </x:c>
      <x:c r="D55" s="40" t="str">
        <x:v>전북대학교</x:v>
      </x:c>
      <x:c r="E55" s="40" t="str">
        <x:v>가</x:v>
      </x:c>
      <x:c r="F55" s="40" t="str">
        <x:v>일반전형</x:v>
      </x:c>
      <x:c r="G55" s="41" t="str">
        <x:v>자연과학계열2</x:v>
      </x:c>
      <x:c r="H55" s="40" t="n">
        <x:v>44</x:v>
      </x:c>
      <x:c r="I55" s="40" t="n">
        <x:v>3</x:v>
      </x:c>
      <x:c r="J55" s="40" t="n">
        <x:v>47</x:v>
      </x:c>
      <x:c r="K55" s="60" t="n">
        <x:v>4.9</x:v>
      </x:c>
      <x:c r="L55" s="40" t="n">
        <x:v>69</x:v>
      </x:c>
      <x:c r="M55" s="60" t="n">
        <x:v>312.33</x:v>
      </x:c>
      <x:c r="N55" s="60" t="n">
        <x:v>310.37</x:v>
      </x:c>
      <x:c r="O55" s="60" t="n">
        <x:v>500</x:v>
      </x:c>
      <x:c r="P55" s="62" t="n">
        <x:v>46</x:v>
      </x:c>
      <x:c r="Q55" s="62" t="n">
        <x:v>68</x:v>
      </x:c>
      <x:c r="R55" s="62" t="n">
        <x:v>55</x:v>
      </x:c>
      <x:c r="S55" s="62" t="n">
        <x:v>75</x:v>
      </x:c>
      <x:c r="T55" s="62" t="n">
        <x:v>2</x:v>
      </x:c>
      <x:c r="U55" s="62" t="n">
        <x:v>3</x:v>
      </x:c>
      <x:c r="V55" s="60"/>
      <x:c r="W55" s="60" t="n">
        <x:f>IF(COUNT(P55:S55)&gt;=3,AVERAGE(P55:S55),"")</x:f>
        <x:v>61</x:v>
      </x:c>
      <x:c r="X55" s="60" t="n">
        <x:f>IF(V55&lt;&gt;"",V55,W55)</x:f>
        <x:v>61</x:v>
      </x:c>
      <x:c r="Y55" s="40" t="str">
        <x:f>IF(V55&lt;&gt;"","공식 70% 평균백분위",IF(W55&lt;&gt;"","파생 단순평균(참고)","비교불가"))</x:f>
        <x:v>파생 단순평균(참고)</x:v>
      </x:c>
      <x:c r="Z55" s="60" t="n">
        <x:f>'추천_테스트'!$B$8</x:f>
        <x:v>80</x:v>
      </x:c>
      <x:c r="AA55" s="60" t="n">
        <x:f>IF(X55="","",Z55-X55)</x:f>
        <x:v>19</x:v>
      </x:c>
      <x:c r="AB55" s="40" t="str">
        <x:f>IF(X55="","",IF(AA55&gt;='추천_테스트'!$B$10,"안정",IF(AA55&gt;='추천_테스트'!$B$11,"적정",IF(AA55&gt;='추천_테스트'!$B$12,"소신","상향"))))</x:f>
        <x:v>안정</x:v>
      </x:c>
      <x:c r="AC55" s="62" t="n">
        <x:v>18</x:v>
      </x:c>
      <x:c r="AD55" s="62" t="n">
        <x:v>73</x:v>
      </x:c>
      <x:c r="AE55" s="62" t="n">
        <x:v>9</x:v>
      </x:c>
      <x:c r="AF55" s="41" t="str">
        <x:v>B: 공식 과목별 70% 백분위 → 단순평균 파생</x:v>
      </x:c>
      <x:c r="AG55" s="41" t="str">
        <x:v>https://www.adiga.kr/ucp/uvt/uni/univDetailSelection.do?menuId=PCUVTINF2000&amp;searchSyr=2026&amp;unvCd=0000025</x:v>
      </x:c>
    </x:row>
    <x:row r="56">
      <x:c r="A56" s="40" t="n">
        <x:v>2025</x:v>
      </x:c>
      <x:c r="B56" s="40" t="str">
        <x:v>전북특별자치도</x:v>
      </x:c>
      <x:c r="C56" s="40" t="str">
        <x:v>국립</x:v>
      </x:c>
      <x:c r="D56" s="40" t="str">
        <x:v>전북대학교</x:v>
      </x:c>
      <x:c r="E56" s="40" t="str">
        <x:v>가</x:v>
      </x:c>
      <x:c r="F56" s="40" t="str">
        <x:v>일반전형</x:v>
      </x:c>
      <x:c r="G56" s="41" t="str">
        <x:v>치의예과</x:v>
      </x:c>
      <x:c r="H56" s="40" t="n">
        <x:v>5</x:v>
      </x:c>
      <x:c r="I56" s="40" t="n">
        <x:v>3</x:v>
      </x:c>
      <x:c r="J56" s="40" t="n">
        <x:v>8</x:v>
      </x:c>
      <x:c r="K56" s="60" t="n">
        <x:v>9.6</x:v>
      </x:c>
      <x:c r="L56" s="40" t="n">
        <x:v>24</x:v>
      </x:c>
      <x:c r="M56" s="60" t="n">
        <x:v>368.31</x:v>
      </x:c>
      <x:c r="N56" s="60" t="n">
        <x:v>368.09</x:v>
      </x:c>
      <x:c r="O56" s="60" t="n">
        <x:v>500</x:v>
      </x:c>
      <x:c r="P56" s="62" t="n">
        <x:v>98</x:v>
      </x:c>
      <x:c r="Q56" s="62" t="n">
        <x:v>99</x:v>
      </x:c>
      <x:c r="R56" s="62" t="n">
        <x:v>88</x:v>
      </x:c>
      <x:c r="S56" s="62" t="n">
        <x:v>91</x:v>
      </x:c>
      <x:c r="T56" s="62" t="n">
        <x:v>1</x:v>
      </x:c>
      <x:c r="U56" s="62" t="n">
        <x:v>1</x:v>
      </x:c>
      <x:c r="V56" s="60"/>
      <x:c r="W56" s="60" t="n">
        <x:f>IF(COUNT(P56:S56)&gt;=3,AVERAGE(P56:S56),"")</x:f>
        <x:v>94</x:v>
      </x:c>
      <x:c r="X56" s="60" t="n">
        <x:f>IF(V56&lt;&gt;"",V56,W56)</x:f>
        <x:v>94</x:v>
      </x:c>
      <x:c r="Y56" s="40" t="str">
        <x:f>IF(V56&lt;&gt;"","공식 70% 평균백분위",IF(W56&lt;&gt;"","파생 단순평균(참고)","비교불가"))</x:f>
        <x:v>파생 단순평균(참고)</x:v>
      </x:c>
      <x:c r="Z56" s="60" t="n">
        <x:f>'추천_테스트'!$B$8</x:f>
        <x:v>80</x:v>
      </x:c>
      <x:c r="AA56" s="60" t="n">
        <x:f>IF(X56="","",Z56-X56)</x:f>
        <x:v>-14</x:v>
      </x:c>
      <x:c r="AB56" s="40" t="str">
        <x:f>IF(X56="","",IF(AA56&gt;='추천_테스트'!$B$10,"안정",IF(AA56&gt;='추천_테스트'!$B$11,"적정",IF(AA56&gt;='추천_테스트'!$B$12,"소신","상향"))))</x:f>
        <x:v>상향</x:v>
      </x:c>
      <x:c r="AC56" s="62" t="n">
        <x:v>0</x:v>
      </x:c>
      <x:c r="AD56" s="62" t="n">
        <x:v>100</x:v>
      </x:c>
      <x:c r="AE56" s="62" t="n">
        <x:v>0</x:v>
      </x:c>
      <x:c r="AF56" s="41" t="str">
        <x:v>B: 공식 과목별 70% 백분위 → 단순평균 파생</x:v>
      </x:c>
      <x:c r="AG56" s="41" t="str">
        <x:v>https://www.adiga.kr/ucp/uvt/uni/univDetailSelection.do?menuId=PCUVTINF2000&amp;searchSyr=2026&amp;unvCd=0000025</x:v>
      </x:c>
    </x:row>
    <x:row r="57">
      <x:c r="A57" s="40" t="n">
        <x:v>2025</x:v>
      </x:c>
      <x:c r="B57" s="40" t="str">
        <x:v>전북특별자치도</x:v>
      </x:c>
      <x:c r="C57" s="40" t="str">
        <x:v>국립</x:v>
      </x:c>
      <x:c r="D57" s="40" t="str">
        <x:v>전북대학교</x:v>
      </x:c>
      <x:c r="E57" s="40" t="str">
        <x:v>나</x:v>
      </x:c>
      <x:c r="F57" s="40" t="str">
        <x:v>일반전형</x:v>
      </x:c>
      <x:c r="G57" s="41" t="str">
        <x:v>간호학과</x:v>
      </x:c>
      <x:c r="H57" s="40" t="n">
        <x:v>35</x:v>
      </x:c>
      <x:c r="I57" s="40" t="n">
        <x:v>0</x:v>
      </x:c>
      <x:c r="J57" s="40" t="n">
        <x:v>35</x:v>
      </x:c>
      <x:c r="K57" s="60" t="n">
        <x:v>3.3</x:v>
      </x:c>
      <x:c r="L57" s="40" t="n">
        <x:v>18</x:v>
      </x:c>
      <x:c r="M57" s="60" t="n">
        <x:v>333.25</x:v>
      </x:c>
      <x:c r="N57" s="60" t="n">
        <x:v>331.65</x:v>
      </x:c>
      <x:c r="O57" s="60" t="n">
        <x:v>500</x:v>
      </x:c>
      <x:c r="P57" s="62" t="n">
        <x:v>97</x:v>
      </x:c>
      <x:c r="Q57" s="62" t="n">
        <x:v>74</x:v>
      </x:c>
      <x:c r="R57" s="62" t="n">
        <x:v>45</x:v>
      </x:c>
      <x:c r="S57" s="62" t="n">
        <x:v>66</x:v>
      </x:c>
      <x:c r="T57" s="62" t="n">
        <x:v>2</x:v>
      </x:c>
      <x:c r="U57" s="62" t="n">
        <x:v>1</x:v>
      </x:c>
      <x:c r="V57" s="60"/>
      <x:c r="W57" s="60" t="n">
        <x:f>IF(COUNT(P57:S57)&gt;=3,AVERAGE(P57:S57),"")</x:f>
        <x:v>70.5</x:v>
      </x:c>
      <x:c r="X57" s="60" t="n">
        <x:f>IF(V57&lt;&gt;"",V57,W57)</x:f>
        <x:v>70.5</x:v>
      </x:c>
      <x:c r="Y57" s="40" t="str">
        <x:f>IF(V57&lt;&gt;"","공식 70% 평균백분위",IF(W57&lt;&gt;"","파생 단순평균(참고)","비교불가"))</x:f>
        <x:v>파생 단순평균(참고)</x:v>
      </x:c>
      <x:c r="Z57" s="60" t="n">
        <x:f>'추천_테스트'!$B$8</x:f>
        <x:v>80</x:v>
      </x:c>
      <x:c r="AA57" s="60" t="n">
        <x:f>IF(X57="","",Z57-X57)</x:f>
        <x:v>9.5</x:v>
      </x:c>
      <x:c r="AB57" s="40" t="str">
        <x:f>IF(X57="","",IF(AA57&gt;='추천_테스트'!$B$10,"안정",IF(AA57&gt;='추천_테스트'!$B$11,"적정",IF(AA57&gt;='추천_테스트'!$B$12,"소신","상향"))))</x:f>
        <x:v>안정</x:v>
      </x:c>
      <x:c r="AC57" s="62" t="n">
        <x:v>9</x:v>
      </x:c>
      <x:c r="AD57" s="62" t="n">
        <x:v>91</x:v>
      </x:c>
      <x:c r="AE57" s="62" t="n">
        <x:v>0</x:v>
      </x:c>
      <x:c r="AF57" s="41" t="str">
        <x:v>B: 공식 과목별 70% 백분위 → 단순평균 파생</x:v>
      </x:c>
      <x:c r="AG57" s="41" t="str">
        <x:v>https://www.adiga.kr/ucp/uvt/uni/univDetailSelection.do?menuId=PCUVTINF2000&amp;searchSyr=2026&amp;unvCd=0000025</x:v>
      </x:c>
    </x:row>
    <x:row r="58">
      <x:c r="A58" s="40" t="n">
        <x:v>2025</x:v>
      </x:c>
      <x:c r="B58" s="40" t="str">
        <x:v>전북특별자치도</x:v>
      </x:c>
      <x:c r="C58" s="40" t="str">
        <x:v>국립</x:v>
      </x:c>
      <x:c r="D58" s="40" t="str">
        <x:v>전북대학교</x:v>
      </x:c>
      <x:c r="E58" s="40" t="str">
        <x:v>나</x:v>
      </x:c>
      <x:c r="F58" s="40" t="str">
        <x:v>일반전형</x:v>
      </x:c>
      <x:c r="G58" s="41" t="str">
        <x:v>공학계열1</x:v>
      </x:c>
      <x:c r="H58" s="40" t="n">
        <x:v>238</x:v>
      </x:c>
      <x:c r="I58" s="40" t="n">
        <x:v>33</x:v>
      </x:c>
      <x:c r="J58" s="40" t="n">
        <x:v>271</x:v>
      </x:c>
      <x:c r="K58" s="60" t="n">
        <x:v>3.5</x:v>
      </x:c>
      <x:c r="L58" s="40" t="n">
        <x:v>162</x:v>
      </x:c>
      <x:c r="M58" s="60" t="n">
        <x:v>316.29</x:v>
      </x:c>
      <x:c r="N58" s="60" t="n">
        <x:v>314.12</x:v>
      </x:c>
      <x:c r="O58" s="60" t="n">
        <x:v>500</x:v>
      </x:c>
      <x:c r="P58" s="62" t="n">
        <x:v>67</x:v>
      </x:c>
      <x:c r="Q58" s="62" t="n">
        <x:v>62</x:v>
      </x:c>
      <x:c r="R58" s="62" t="n">
        <x:v>68</x:v>
      </x:c>
      <x:c r="S58" s="62" t="n">
        <x:v>54</x:v>
      </x:c>
      <x:c r="T58" s="62" t="n">
        <x:v>2</x:v>
      </x:c>
      <x:c r="U58" s="62" t="n">
        <x:v>3</x:v>
      </x:c>
      <x:c r="V58" s="60"/>
      <x:c r="W58" s="60" t="n">
        <x:f>IF(COUNT(P58:S58)&gt;=3,AVERAGE(P58:S58),"")</x:f>
        <x:v>62.75</x:v>
      </x:c>
      <x:c r="X58" s="60" t="n">
        <x:f>IF(V58&lt;&gt;"",V58,W58)</x:f>
        <x:v>62.75</x:v>
      </x:c>
      <x:c r="Y58" s="40" t="str">
        <x:f>IF(V58&lt;&gt;"","공식 70% 평균백분위",IF(W58&lt;&gt;"","파생 단순평균(참고)","비교불가"))</x:f>
        <x:v>파생 단순평균(참고)</x:v>
      </x:c>
      <x:c r="Z58" s="60" t="n">
        <x:f>'추천_테스트'!$B$8</x:f>
        <x:v>80</x:v>
      </x:c>
      <x:c r="AA58" s="60" t="n">
        <x:f>IF(X58="","",Z58-X58)</x:f>
        <x:v>17.25</x:v>
      </x:c>
      <x:c r="AB58" s="40" t="str">
        <x:f>IF(X58="","",IF(AA58&gt;='추천_테스트'!$B$10,"안정",IF(AA58&gt;='추천_테스트'!$B$11,"적정",IF(AA58&gt;='추천_테스트'!$B$12,"소신","상향"))))</x:f>
        <x:v>안정</x:v>
      </x:c>
      <x:c r="AC58" s="62" t="n">
        <x:v>7</x:v>
      </x:c>
      <x:c r="AD58" s="62" t="n">
        <x:v>89</x:v>
      </x:c>
      <x:c r="AE58" s="62" t="n">
        <x:v>4</x:v>
      </x:c>
      <x:c r="AF58" s="41" t="str">
        <x:v>B: 공식 과목별 70% 백분위 → 단순평균 파생</x:v>
      </x:c>
      <x:c r="AG58" s="41" t="str">
        <x:v>https://www.adiga.kr/ucp/uvt/uni/univDetailSelection.do?menuId=PCUVTINF2000&amp;searchSyr=2026&amp;unvCd=0000025</x:v>
      </x:c>
    </x:row>
    <x:row r="59">
      <x:c r="A59" s="40" t="n">
        <x:v>2025</x:v>
      </x:c>
      <x:c r="B59" s="40" t="str">
        <x:v>전북특별자치도</x:v>
      </x:c>
      <x:c r="C59" s="40" t="str">
        <x:v>국립</x:v>
      </x:c>
      <x:c r="D59" s="40" t="str">
        <x:v>전북대학교</x:v>
      </x:c>
      <x:c r="E59" s="40" t="str">
        <x:v>나</x:v>
      </x:c>
      <x:c r="F59" s="40" t="str">
        <x:v>일반전형</x:v>
      </x:c>
      <x:c r="G59" s="41" t="str">
        <x:v>공학계열2</x:v>
      </x:c>
      <x:c r="H59" s="40" t="n">
        <x:v>133</x:v>
      </x:c>
      <x:c r="I59" s="40" t="n">
        <x:v>9</x:v>
      </x:c>
      <x:c r="J59" s="40" t="n">
        <x:v>142</x:v>
      </x:c>
      <x:c r="K59" s="60" t="n">
        <x:v>3.7</x:v>
      </x:c>
      <x:c r="L59" s="40" t="n">
        <x:v>68</x:v>
      </x:c>
      <x:c r="M59" s="60" t="n">
        <x:v>317.46</x:v>
      </x:c>
      <x:c r="N59" s="60" t="n">
        <x:v>314.85</x:v>
      </x:c>
      <x:c r="O59" s="60" t="n">
        <x:v>500</x:v>
      </x:c>
      <x:c r="P59" s="62" t="n">
        <x:v>80</x:v>
      </x:c>
      <x:c r="Q59" s="62" t="n">
        <x:v>47</x:v>
      </x:c>
      <x:c r="R59" s="62" t="n">
        <x:v>84</x:v>
      </x:c>
      <x:c r="S59" s="62" t="n">
        <x:v>61</x:v>
      </x:c>
      <x:c r="T59" s="62" t="n">
        <x:v>3</x:v>
      </x:c>
      <x:c r="U59" s="62" t="n">
        <x:v>2</x:v>
      </x:c>
      <x:c r="V59" s="60"/>
      <x:c r="W59" s="60" t="n">
        <x:f>IF(COUNT(P59:S59)&gt;=3,AVERAGE(P59:S59),"")</x:f>
        <x:v>68</x:v>
      </x:c>
      <x:c r="X59" s="60" t="n">
        <x:f>IF(V59&lt;&gt;"",V59,W59)</x:f>
        <x:v>68</x:v>
      </x:c>
      <x:c r="Y59" s="40" t="str">
        <x:f>IF(V59&lt;&gt;"","공식 70% 평균백분위",IF(W59&lt;&gt;"","파생 단순평균(참고)","비교불가"))</x:f>
        <x:v>파생 단순평균(참고)</x:v>
      </x:c>
      <x:c r="Z59" s="60" t="n">
        <x:f>'추천_테스트'!$B$8</x:f>
        <x:v>80</x:v>
      </x:c>
      <x:c r="AA59" s="60" t="n">
        <x:f>IF(X59="","",Z59-X59)</x:f>
        <x:v>12</x:v>
      </x:c>
      <x:c r="AB59" s="40" t="str">
        <x:f>IF(X59="","",IF(AA59&gt;='추천_테스트'!$B$10,"안정",IF(AA59&gt;='추천_테스트'!$B$11,"적정",IF(AA59&gt;='추천_테스트'!$B$12,"소신","상향"))))</x:f>
        <x:v>안정</x:v>
      </x:c>
      <x:c r="AC59" s="62" t="n">
        <x:v>9</x:v>
      </x:c>
      <x:c r="AD59" s="62" t="n">
        <x:v>84</x:v>
      </x:c>
      <x:c r="AE59" s="62" t="n">
        <x:v>7</x:v>
      </x:c>
      <x:c r="AF59" s="41" t="str">
        <x:v>B: 공식 과목별 70% 백분위 → 단순평균 파생</x:v>
      </x:c>
      <x:c r="AG59" s="41" t="str">
        <x:v>https://www.adiga.kr/ucp/uvt/uni/univDetailSelection.do?menuId=PCUVTINF2000&amp;searchSyr=2026&amp;unvCd=0000025</x:v>
      </x:c>
    </x:row>
    <x:row r="60">
      <x:c r="A60" s="40" t="n">
        <x:v>2025</x:v>
      </x:c>
      <x:c r="B60" s="40" t="str">
        <x:v>전북특별자치도</x:v>
      </x:c>
      <x:c r="C60" s="40" t="str">
        <x:v>국립</x:v>
      </x:c>
      <x:c r="D60" s="40" t="str">
        <x:v>전북대학교</x:v>
      </x:c>
      <x:c r="E60" s="40" t="str">
        <x:v>나</x:v>
      </x:c>
      <x:c r="F60" s="40" t="str">
        <x:v>일반전형</x:v>
      </x:c>
      <x:c r="G60" s="41" t="str">
        <x:v>사회과학계열</x:v>
      </x:c>
      <x:c r="H60" s="40" t="n">
        <x:v>59</x:v>
      </x:c>
      <x:c r="I60" s="40" t="n">
        <x:v>7</x:v>
      </x:c>
      <x:c r="J60" s="40" t="n">
        <x:v>66</x:v>
      </x:c>
      <x:c r="K60" s="60" t="n">
        <x:v>5.4</x:v>
      </x:c>
      <x:c r="L60" s="40" t="n">
        <x:v>53</x:v>
      </x:c>
      <x:c r="M60" s="60" t="n">
        <x:v>312.91</x:v>
      </x:c>
      <x:c r="N60" s="60" t="n">
        <x:v>311</x:v>
      </x:c>
      <x:c r="O60" s="60" t="n">
        <x:v>500</x:v>
      </x:c>
      <x:c r="P60" s="62" t="n">
        <x:v>70</x:v>
      </x:c>
      <x:c r="Q60" s="62" t="n">
        <x:v>52</x:v>
      </x:c>
      <x:c r="R60" s="62" t="n">
        <x:v>59</x:v>
      </x:c>
      <x:c r="S60" s="62" t="n">
        <x:v>74</x:v>
      </x:c>
      <x:c r="T60" s="62" t="n">
        <x:v>1</x:v>
      </x:c>
      <x:c r="U60" s="62" t="n">
        <x:v>3</x:v>
      </x:c>
      <x:c r="V60" s="60"/>
      <x:c r="W60" s="60" t="n">
        <x:f>IF(COUNT(P60:S60)&gt;=3,AVERAGE(P60:S60),"")</x:f>
        <x:v>63.75</x:v>
      </x:c>
      <x:c r="X60" s="60" t="n">
        <x:f>IF(V60&lt;&gt;"",V60,W60)</x:f>
        <x:v>63.75</x:v>
      </x:c>
      <x:c r="Y60" s="40" t="str">
        <x:f>IF(V60&lt;&gt;"","공식 70% 평균백분위",IF(W60&lt;&gt;"","파생 단순평균(참고)","비교불가"))</x:f>
        <x:v>파생 단순평균(참고)</x:v>
      </x:c>
      <x:c r="Z60" s="60" t="n">
        <x:f>'추천_테스트'!$B$8</x:f>
        <x:v>80</x:v>
      </x:c>
      <x:c r="AA60" s="60" t="n">
        <x:f>IF(X60="","",Z60-X60)</x:f>
        <x:v>16.25</x:v>
      </x:c>
      <x:c r="AB60" s="40" t="str">
        <x:f>IF(X60="","",IF(AA60&gt;='추천_테스트'!$B$10,"안정",IF(AA60&gt;='추천_테스트'!$B$11,"적정",IF(AA60&gt;='추천_테스트'!$B$12,"소신","상향"))))</x:f>
        <x:v>안정</x:v>
      </x:c>
      <x:c r="AC60" s="62" t="n">
        <x:v>82</x:v>
      </x:c>
      <x:c r="AD60" s="62" t="n">
        <x:v>17</x:v>
      </x:c>
      <x:c r="AE60" s="62" t="n">
        <x:v>2</x:v>
      </x:c>
      <x:c r="AF60" s="41" t="str">
        <x:v>B: 공식 과목별 70% 백분위 → 단순평균 파생</x:v>
      </x:c>
      <x:c r="AG60" s="41" t="str">
        <x:v>https://www.adiga.kr/ucp/uvt/uni/univDetailSelection.do?menuId=PCUVTINF2000&amp;searchSyr=2026&amp;unvCd=0000025</x:v>
      </x:c>
    </x:row>
    <x:row r="61">
      <x:c r="A61" s="40" t="n">
        <x:v>2025</x:v>
      </x:c>
      <x:c r="B61" s="40" t="str">
        <x:v>전북특별자치도</x:v>
      </x:c>
      <x:c r="C61" s="40" t="str">
        <x:v>국립</x:v>
      </x:c>
      <x:c r="D61" s="40" t="str">
        <x:v>전북대학교</x:v>
      </x:c>
      <x:c r="E61" s="40" t="str">
        <x:v>나</x:v>
      </x:c>
      <x:c r="F61" s="40" t="str">
        <x:v>일반전형</x:v>
      </x:c>
      <x:c r="G61" s="41" t="str">
        <x:v>수의예과</x:v>
      </x:c>
      <x:c r="H61" s="40" t="n">
        <x:v>15</x:v>
      </x:c>
      <x:c r="I61" s="40" t="n">
        <x:v>0</x:v>
      </x:c>
      <x:c r="J61" s="40" t="n">
        <x:v>15</x:v>
      </x:c>
      <x:c r="K61" s="60" t="n">
        <x:v>7.5</x:v>
      </x:c>
      <x:c r="L61" s="40" t="n">
        <x:v>5</x:v>
      </x:c>
      <x:c r="M61" s="60" t="n">
        <x:v>366</x:v>
      </x:c>
      <x:c r="N61" s="60" t="n">
        <x:v>365.41</x:v>
      </x:c>
      <x:c r="O61" s="60" t="n">
        <x:v>500</x:v>
      </x:c>
      <x:c r="P61" s="62" t="n">
        <x:v>99</x:v>
      </x:c>
      <x:c r="Q61" s="62" t="n">
        <x:v>98</x:v>
      </x:c>
      <x:c r="R61" s="62" t="n">
        <x:v>94</x:v>
      </x:c>
      <x:c r="S61" s="62" t="n">
        <x:v>83</x:v>
      </x:c>
      <x:c r="T61" s="62" t="n">
        <x:v>1</x:v>
      </x:c>
      <x:c r="U61" s="62" t="n">
        <x:v>1</x:v>
      </x:c>
      <x:c r="V61" s="60"/>
      <x:c r="W61" s="60" t="n">
        <x:f>IF(COUNT(P61:S61)&gt;=3,AVERAGE(P61:S61),"")</x:f>
        <x:v>93.5</x:v>
      </x:c>
      <x:c r="X61" s="60" t="n">
        <x:f>IF(V61&lt;&gt;"",V61,W61)</x:f>
        <x:v>93.5</x:v>
      </x:c>
      <x:c r="Y61" s="40" t="str">
        <x:f>IF(V61&lt;&gt;"","공식 70% 평균백분위",IF(W61&lt;&gt;"","파생 단순평균(참고)","비교불가"))</x:f>
        <x:v>파생 단순평균(참고)</x:v>
      </x:c>
      <x:c r="Z61" s="60" t="n">
        <x:f>'추천_테스트'!$B$8</x:f>
        <x:v>80</x:v>
      </x:c>
      <x:c r="AA61" s="60" t="n">
        <x:f>IF(X61="","",Z61-X61)</x:f>
        <x:v>-13.5</x:v>
      </x:c>
      <x:c r="AB61" s="40" t="str">
        <x:f>IF(X61="","",IF(AA61&gt;='추천_테스트'!$B$10,"안정",IF(AA61&gt;='추천_테스트'!$B$11,"적정",IF(AA61&gt;='추천_테스트'!$B$12,"소신","상향"))))</x:f>
        <x:v>상향</x:v>
      </x:c>
      <x:c r="AC61" s="62" t="n">
        <x:v>0</x:v>
      </x:c>
      <x:c r="AD61" s="62" t="n">
        <x:v>100</x:v>
      </x:c>
      <x:c r="AE61" s="62" t="n">
        <x:v>0</x:v>
      </x:c>
      <x:c r="AF61" s="41" t="str">
        <x:v>B: 공식 과목별 70% 백분위 → 단순평균 파생</x:v>
      </x:c>
      <x:c r="AG61" s="41" t="str">
        <x:v>https://www.adiga.kr/ucp/uvt/uni/univDetailSelection.do?menuId=PCUVTINF2000&amp;searchSyr=2026&amp;unvCd=0000025</x:v>
      </x:c>
    </x:row>
    <x:row r="62">
      <x:c r="A62" s="40" t="n">
        <x:v>2025</x:v>
      </x:c>
      <x:c r="B62" s="40" t="str">
        <x:v>전북특별자치도</x:v>
      </x:c>
      <x:c r="C62" s="40" t="str">
        <x:v>국립</x:v>
      </x:c>
      <x:c r="D62" s="40" t="str">
        <x:v>전북대학교</x:v>
      </x:c>
      <x:c r="E62" s="40" t="str">
        <x:v>나</x:v>
      </x:c>
      <x:c r="F62" s="40" t="str">
        <x:v>일반전형</x:v>
      </x:c>
      <x:c r="G62" s="41" t="str">
        <x:v>약학과</x:v>
      </x:c>
      <x:c r="H62" s="40" t="n">
        <x:v>9</x:v>
      </x:c>
      <x:c r="I62" s="40" t="n">
        <x:v>0</x:v>
      </x:c>
      <x:c r="J62" s="40" t="n">
        <x:v>9</x:v>
      </x:c>
      <x:c r="K62" s="60" t="n">
        <x:v>8.8</x:v>
      </x:c>
      <x:c r="L62" s="40" t="n">
        <x:v>5</x:v>
      </x:c>
      <x:c r="M62" s="60" t="n">
        <x:v>366.05</x:v>
      </x:c>
      <x:c r="N62" s="60" t="n">
        <x:v>365.33</x:v>
      </x:c>
      <x:c r="O62" s="60" t="n">
        <x:v>500</x:v>
      </x:c>
      <x:c r="P62" s="62" t="n">
        <x:v>99</x:v>
      </x:c>
      <x:c r="Q62" s="62" t="n">
        <x:v>97</x:v>
      </x:c>
      <x:c r="R62" s="62" t="n">
        <x:v>83</x:v>
      </x:c>
      <x:c r="S62" s="62" t="n">
        <x:v>98</x:v>
      </x:c>
      <x:c r="T62" s="62" t="n">
        <x:v>1</x:v>
      </x:c>
      <x:c r="U62" s="62" t="n">
        <x:v>1</x:v>
      </x:c>
      <x:c r="V62" s="60"/>
      <x:c r="W62" s="60" t="n">
        <x:f>IF(COUNT(P62:S62)&gt;=3,AVERAGE(P62:S62),"")</x:f>
        <x:v>94.25</x:v>
      </x:c>
      <x:c r="X62" s="60" t="n">
        <x:f>IF(V62&lt;&gt;"",V62,W62)</x:f>
        <x:v>94.25</x:v>
      </x:c>
      <x:c r="Y62" s="40" t="str">
        <x:f>IF(V62&lt;&gt;"","공식 70% 평균백분위",IF(W62&lt;&gt;"","파생 단순평균(참고)","비교불가"))</x:f>
        <x:v>파생 단순평균(참고)</x:v>
      </x:c>
      <x:c r="Z62" s="60" t="n">
        <x:f>'추천_테스트'!$B$8</x:f>
        <x:v>80</x:v>
      </x:c>
      <x:c r="AA62" s="60" t="n">
        <x:f>IF(X62="","",Z62-X62)</x:f>
        <x:v>-14.25</x:v>
      </x:c>
      <x:c r="AB62" s="40" t="str">
        <x:f>IF(X62="","",IF(AA62&gt;='추천_테스트'!$B$10,"안정",IF(AA62&gt;='추천_테스트'!$B$11,"적정",IF(AA62&gt;='추천_테스트'!$B$12,"소신","상향"))))</x:f>
        <x:v>상향</x:v>
      </x:c>
      <x:c r="AC62" s="62" t="n">
        <x:v>0</x:v>
      </x:c>
      <x:c r="AD62" s="62" t="n">
        <x:v>78</x:v>
      </x:c>
      <x:c r="AE62" s="62" t="n">
        <x:v>22</x:v>
      </x:c>
      <x:c r="AF62" s="41" t="str">
        <x:v>B: 공식 과목별 70% 백분위 → 단순평균 파생</x:v>
      </x:c>
      <x:c r="AG62" s="41" t="str">
        <x:v>https://www.adiga.kr/ucp/uvt/uni/univDetailSelection.do?menuId=PCUVTINF2000&amp;searchSyr=2026&amp;unvCd=0000025</x:v>
      </x:c>
    </x:row>
    <x:row r="63">
      <x:c r="A63" s="40" t="n">
        <x:v>2025</x:v>
      </x:c>
      <x:c r="B63" s="40" t="str">
        <x:v>전북특별자치도</x:v>
      </x:c>
      <x:c r="C63" s="40" t="str">
        <x:v>국립</x:v>
      </x:c>
      <x:c r="D63" s="40" t="str">
        <x:v>전북대학교</x:v>
      </x:c>
      <x:c r="E63" s="40" t="str">
        <x:v>나</x:v>
      </x:c>
      <x:c r="F63" s="40" t="str">
        <x:v>일반전형</x:v>
      </x:c>
      <x:c r="G63" s="41" t="str">
        <x:v>의예과</x:v>
      </x:c>
      <x:c r="H63" s="40" t="n">
        <x:v>31</x:v>
      </x:c>
      <x:c r="I63" s="40" t="n">
        <x:v>2</x:v>
      </x:c>
      <x:c r="J63" s="40" t="n">
        <x:v>33</x:v>
      </x:c>
      <x:c r="K63" s="60" t="n">
        <x:v>4.3</x:v>
      </x:c>
      <x:c r="L63" s="40" t="n">
        <x:v>19</x:v>
      </x:c>
      <x:c r="M63" s="60" t="n">
        <x:v>372.06</x:v>
      </x:c>
      <x:c r="N63" s="60" t="n">
        <x:v>371.73</x:v>
      </x:c>
      <x:c r="O63" s="60" t="n">
        <x:v>500</x:v>
      </x:c>
      <x:c r="P63" s="62" t="n">
        <x:v>96</x:v>
      </x:c>
      <x:c r="Q63" s="62" t="n">
        <x:v>100</x:v>
      </x:c>
      <x:c r="R63" s="62" t="n">
        <x:v>94</x:v>
      </x:c>
      <x:c r="S63" s="62" t="n">
        <x:v>94</x:v>
      </x:c>
      <x:c r="T63" s="62" t="n">
        <x:v>1</x:v>
      </x:c>
      <x:c r="U63" s="62" t="n">
        <x:v>2</x:v>
      </x:c>
      <x:c r="V63" s="60"/>
      <x:c r="W63" s="60" t="n">
        <x:f>IF(COUNT(P63:S63)&gt;=3,AVERAGE(P63:S63),"")</x:f>
        <x:v>96</x:v>
      </x:c>
      <x:c r="X63" s="60" t="n">
        <x:f>IF(V63&lt;&gt;"",V63,W63)</x:f>
        <x:v>96</x:v>
      </x:c>
      <x:c r="Y63" s="40" t="str">
        <x:f>IF(V63&lt;&gt;"","공식 70% 평균백분위",IF(W63&lt;&gt;"","파생 단순평균(참고)","비교불가"))</x:f>
        <x:v>파생 단순평균(참고)</x:v>
      </x:c>
      <x:c r="Z63" s="60" t="n">
        <x:f>'추천_테스트'!$B$8</x:f>
        <x:v>80</x:v>
      </x:c>
      <x:c r="AA63" s="60" t="n">
        <x:f>IF(X63="","",Z63-X63)</x:f>
        <x:v>-16</x:v>
      </x:c>
      <x:c r="AB63" s="40" t="str">
        <x:f>IF(X63="","",IF(AA63&gt;='추천_테스트'!$B$10,"안정",IF(AA63&gt;='추천_테스트'!$B$11,"적정",IF(AA63&gt;='추천_테스트'!$B$12,"소신","상향"))))</x:f>
        <x:v>상향</x:v>
      </x:c>
      <x:c r="AC63" s="62" t="n">
        <x:v>0</x:v>
      </x:c>
      <x:c r="AD63" s="62" t="n">
        <x:v>100</x:v>
      </x:c>
      <x:c r="AE63" s="62" t="n">
        <x:v>0</x:v>
      </x:c>
      <x:c r="AF63" s="41" t="str">
        <x:v>B: 공식 과목별 70% 백분위 → 단순평균 파생</x:v>
      </x:c>
      <x:c r="AG63" s="41" t="str">
        <x:v>https://www.adiga.kr/ucp/uvt/uni/univDetailSelection.do?menuId=PCUVTINF2000&amp;searchSyr=2026&amp;unvCd=0000025</x:v>
      </x:c>
    </x:row>
    <x:row r="64">
      <x:c r="A64" s="40" t="n">
        <x:v>2025</x:v>
      </x:c>
      <x:c r="B64" s="40" t="str">
        <x:v>전북특별자치도</x:v>
      </x:c>
      <x:c r="C64" s="40" t="str">
        <x:v>국립</x:v>
      </x:c>
      <x:c r="D64" s="40" t="str">
        <x:v>전북대학교</x:v>
      </x:c>
      <x:c r="E64" s="40" t="str">
        <x:v>나</x:v>
      </x:c>
      <x:c r="F64" s="40" t="str">
        <x:v>일반전형</x:v>
      </x:c>
      <x:c r="G64" s="41" t="str">
        <x:v>환경생명자원계열</x:v>
      </x:c>
      <x:c r="H64" s="40" t="n">
        <x:v>23</x:v>
      </x:c>
      <x:c r="I64" s="40" t="n">
        <x:v>9</x:v>
      </x:c>
      <x:c r="J64" s="40" t="n">
        <x:v>32</x:v>
      </x:c>
      <x:c r="K64" s="60" t="n">
        <x:v>4.5</x:v>
      </x:c>
      <x:c r="L64" s="40" t="n">
        <x:v>18</x:v>
      </x:c>
      <x:c r="M64" s="60" t="n">
        <x:v>302.65</x:v>
      </x:c>
      <x:c r="N64" s="60" t="n">
        <x:v>301.74</x:v>
      </x:c>
      <x:c r="O64" s="60" t="n">
        <x:v>500</x:v>
      </x:c>
      <x:c r="P64" s="62" t="n">
        <x:v>75</x:v>
      </x:c>
      <x:c r="Q64" s="62" t="n">
        <x:v>68</x:v>
      </x:c>
      <x:c r="R64" s="62" t="n">
        <x:v>59</x:v>
      </x:c>
      <x:c r="S64" s="62" t="n">
        <x:v>54</x:v>
      </x:c>
      <x:c r="T64" s="62" t="n">
        <x:v>4</x:v>
      </x:c>
      <x:c r="U64" s="62" t="n">
        <x:v>3</x:v>
      </x:c>
      <x:c r="V64" s="60"/>
      <x:c r="W64" s="60" t="n">
        <x:f>IF(COUNT(P64:S64)&gt;=3,AVERAGE(P64:S64),"")</x:f>
        <x:v>64</x:v>
      </x:c>
      <x:c r="X64" s="60" t="n">
        <x:f>IF(V64&lt;&gt;"",V64,W64)</x:f>
        <x:v>64</x:v>
      </x:c>
      <x:c r="Y64" s="40" t="str">
        <x:f>IF(V64&lt;&gt;"","공식 70% 평균백분위",IF(W64&lt;&gt;"","파생 단순평균(참고)","비교불가"))</x:f>
        <x:v>파생 단순평균(참고)</x:v>
      </x:c>
      <x:c r="Z64" s="60" t="n">
        <x:f>'추천_테스트'!$B$8</x:f>
        <x:v>80</x:v>
      </x:c>
      <x:c r="AA64" s="60" t="n">
        <x:f>IF(X64="","",Z64-X64)</x:f>
        <x:v>16</x:v>
      </x:c>
      <x:c r="AB64" s="40" t="str">
        <x:f>IF(X64="","",IF(AA64&gt;='추천_테스트'!$B$10,"안정",IF(AA64&gt;='추천_테스트'!$B$11,"적정",IF(AA64&gt;='추천_테스트'!$B$12,"소신","상향"))))</x:f>
        <x:v>안정</x:v>
      </x:c>
      <x:c r="AC64" s="62" t="n">
        <x:v>25</x:v>
      </x:c>
      <x:c r="AD64" s="62" t="n">
        <x:v>69</x:v>
      </x:c>
      <x:c r="AE64" s="62" t="n">
        <x:v>6</x:v>
      </x:c>
      <x:c r="AF64" s="41" t="str">
        <x:v>B: 공식 과목별 70% 백분위 → 단순평균 파생</x:v>
      </x:c>
      <x:c r="AG64" s="41" t="str">
        <x:v>https://www.adiga.kr/ucp/uvt/uni/univDetailSelection.do?menuId=PCUVTINF2000&amp;searchSyr=2026&amp;unvCd=0000025</x:v>
      </x:c>
    </x:row>
    <x:row r="65">
      <x:c r="A65" s="40" t="n">
        <x:v>2025</x:v>
      </x:c>
      <x:c r="B65" s="40" t="str">
        <x:v>전북특별자치도</x:v>
      </x:c>
      <x:c r="C65" s="40" t="str">
        <x:v>국립</x:v>
      </x:c>
      <x:c r="D65" s="40" t="str">
        <x:v>전북대학교</x:v>
      </x:c>
      <x:c r="E65" s="40" t="str">
        <x:v>나</x:v>
      </x:c>
      <x:c r="F65" s="40" t="str">
        <x:v>일반전형</x:v>
      </x:c>
      <x:c r="G65" s="41" t="str">
        <x:v>융합자율전공학부1</x:v>
      </x:c>
      <x:c r="H65" s="40" t="n">
        <x:v>34</x:v>
      </x:c>
      <x:c r="I65" s="40" t="n">
        <x:v>0</x:v>
      </x:c>
      <x:c r="J65" s="40" t="n">
        <x:v>34</x:v>
      </x:c>
      <x:c r="K65" s="60" t="n">
        <x:v>4.7</x:v>
      </x:c>
      <x:c r="L65" s="40" t="n">
        <x:v>16</x:v>
      </x:c>
      <x:c r="M65" s="60" t="n">
        <x:v>316.01</x:v>
      </x:c>
      <x:c r="N65" s="60" t="n">
        <x:v>313.9</x:v>
      </x:c>
      <x:c r="O65" s="60" t="n">
        <x:v>500</x:v>
      </x:c>
      <x:c r="P65" s="62" t="n">
        <x:v>77</x:v>
      </x:c>
      <x:c r="Q65" s="62" t="n">
        <x:v>66</x:v>
      </x:c>
      <x:c r="R65" s="62" t="n">
        <x:v>80</x:v>
      </x:c>
      <x:c r="S65" s="62" t="n">
        <x:v>74</x:v>
      </x:c>
      <x:c r="T65" s="62" t="n">
        <x:v>4</x:v>
      </x:c>
      <x:c r="U65" s="62" t="n">
        <x:v>1</x:v>
      </x:c>
      <x:c r="V65" s="60"/>
      <x:c r="W65" s="60" t="n">
        <x:f>IF(COUNT(P65:S65)&gt;=3,AVERAGE(P65:S65),"")</x:f>
        <x:v>74.25</x:v>
      </x:c>
      <x:c r="X65" s="60" t="n">
        <x:f>IF(V65&lt;&gt;"",V65,W65)</x:f>
        <x:v>74.25</x:v>
      </x:c>
      <x:c r="Y65" s="40" t="str">
        <x:f>IF(V65&lt;&gt;"","공식 70% 평균백분위",IF(W65&lt;&gt;"","파생 단순평균(참고)","비교불가"))</x:f>
        <x:v>파생 단순평균(참고)</x:v>
      </x:c>
      <x:c r="Z65" s="60" t="n">
        <x:f>'추천_테스트'!$B$8</x:f>
        <x:v>80</x:v>
      </x:c>
      <x:c r="AA65" s="60" t="n">
        <x:f>IF(X65="","",Z65-X65)</x:f>
        <x:v>5.75</x:v>
      </x:c>
      <x:c r="AB65" s="40" t="str">
        <x:f>IF(X65="","",IF(AA65&gt;='추천_테스트'!$B$10,"안정",IF(AA65&gt;='추천_테스트'!$B$11,"적정",IF(AA65&gt;='추천_테스트'!$B$12,"소신","상향"))))</x:f>
        <x:v>안정</x:v>
      </x:c>
      <x:c r="AC65" s="62" t="n">
        <x:v>32</x:v>
      </x:c>
      <x:c r="AD65" s="62" t="n">
        <x:v>68</x:v>
      </x:c>
      <x:c r="AE65" s="62" t="n">
        <x:v>0</x:v>
      </x:c>
      <x:c r="AF65" s="41" t="str">
        <x:v>B: 공식 과목별 70% 백분위 → 단순평균 파생</x:v>
      </x:c>
      <x:c r="AG65" s="41" t="str">
        <x:v>https://www.adiga.kr/ucp/uvt/uni/univDetailSelection.do?menuId=PCUVTINF2000&amp;searchSyr=2026&amp;unvCd=0000025</x:v>
      </x:c>
    </x:row>
    <x:row r="66">
      <x:c r="A66" s="40" t="n">
        <x:v>2025</x:v>
      </x:c>
      <x:c r="B66" s="40" t="str">
        <x:v>전북특별자치도</x:v>
      </x:c>
      <x:c r="C66" s="40" t="str">
        <x:v>국립</x:v>
      </x:c>
      <x:c r="D66" s="40" t="str">
        <x:v>전북대학교</x:v>
      </x:c>
      <x:c r="E66" s="40" t="str">
        <x:v>나</x:v>
      </x:c>
      <x:c r="F66" s="40" t="str">
        <x:v>일반전형</x:v>
      </x:c>
      <x:c r="G66" s="41" t="str">
        <x:v>융합자율전공학부2</x:v>
      </x:c>
      <x:c r="H66" s="40" t="n">
        <x:v>8</x:v>
      </x:c>
      <x:c r="I66" s="40" t="n">
        <x:v>1</x:v>
      </x:c>
      <x:c r="J66" s="40" t="n">
        <x:v>9</x:v>
      </x:c>
      <x:c r="K66" s="60" t="n">
        <x:v>7.1</x:v>
      </x:c>
      <x:c r="L66" s="40" t="n">
        <x:v>7</x:v>
      </x:c>
      <x:c r="M66" s="60" t="n">
        <x:v>308.93</x:v>
      </x:c>
      <x:c r="N66" s="60" t="n">
        <x:v>308.28</x:v>
      </x:c>
      <x:c r="O66" s="60" t="n">
        <x:v>500</x:v>
      </x:c>
      <x:c r="P66" s="62" t="n">
        <x:v>68</x:v>
      </x:c>
      <x:c r="Q66" s="62" t="n">
        <x:v>59</x:v>
      </x:c>
      <x:c r="R66" s="62" t="n">
        <x:v>64</x:v>
      </x:c>
      <x:c r="S66" s="62" t="n">
        <x:v>64</x:v>
      </x:c>
      <x:c r="T66" s="62" t="n">
        <x:v>2</x:v>
      </x:c>
      <x:c r="U66" s="62" t="n">
        <x:v>3</x:v>
      </x:c>
      <x:c r="V66" s="60"/>
      <x:c r="W66" s="60" t="n">
        <x:f>IF(COUNT(P66:S66)&gt;=3,AVERAGE(P66:S66),"")</x:f>
        <x:v>63.75</x:v>
      </x:c>
      <x:c r="X66" s="60" t="n">
        <x:f>IF(V66&lt;&gt;"",V66,W66)</x:f>
        <x:v>63.75</x:v>
      </x:c>
      <x:c r="Y66" s="40" t="str">
        <x:f>IF(V66&lt;&gt;"","공식 70% 평균백분위",IF(W66&lt;&gt;"","파생 단순평균(참고)","비교불가"))</x:f>
        <x:v>파생 단순평균(참고)</x:v>
      </x:c>
      <x:c r="Z66" s="60" t="n">
        <x:f>'추천_테스트'!$B$8</x:f>
        <x:v>80</x:v>
      </x:c>
      <x:c r="AA66" s="60" t="n">
        <x:f>IF(X66="","",Z66-X66)</x:f>
        <x:v>16.25</x:v>
      </x:c>
      <x:c r="AB66" s="40" t="str">
        <x:f>IF(X66="","",IF(AA66&gt;='추천_테스트'!$B$10,"안정",IF(AA66&gt;='추천_테스트'!$B$11,"적정",IF(AA66&gt;='추천_테스트'!$B$12,"소신","상향"))))</x:f>
        <x:v>안정</x:v>
      </x:c>
      <x:c r="AC66" s="62" t="n">
        <x:v>56</x:v>
      </x:c>
      <x:c r="AD66" s="62" t="n">
        <x:v>44</x:v>
      </x:c>
      <x:c r="AE66" s="62" t="n">
        <x:v>0</x:v>
      </x:c>
      <x:c r="AF66" s="41" t="str">
        <x:v>B: 공식 과목별 70% 백분위 → 단순평균 파생</x:v>
      </x:c>
      <x:c r="AG66" s="41" t="str">
        <x:v>https://www.adiga.kr/ucp/uvt/uni/univDetailSelection.do?menuId=PCUVTINF2000&amp;searchSyr=2026&amp;unvCd=0000025</x:v>
      </x:c>
    </x:row>
    <x:row r="67">
      <x:c r="A67" s="40" t="n">
        <x:v>2025</x:v>
      </x:c>
      <x:c r="B67" s="40" t="str">
        <x:v>경기도</x:v>
      </x:c>
      <x:c r="C67" s="40" t="str">
        <x:v>사립</x:v>
      </x:c>
      <x:c r="D67" s="40" t="str">
        <x:v>한세대학교</x:v>
      </x:c>
      <x:c r="E67" s="40" t="str">
        <x:v>가</x:v>
      </x:c>
      <x:c r="F67" s="40" t="str">
        <x:v>일반전형</x:v>
      </x:c>
      <x:c r="G67" s="41" t="str">
        <x:v>자유전공학부</x:v>
      </x:c>
      <x:c r="H67" s="40"/>
      <x:c r="I67" s="40"/>
      <x:c r="J67" s="40" t="n">
        <x:v>17</x:v>
      </x:c>
      <x:c r="K67" s="60" t="n">
        <x:v>6.41</x:v>
      </x:c>
      <x:c r="L67" s="40" t="n">
        <x:v>24</x:v>
      </x:c>
      <x:c r="M67" s="60"/>
      <x:c r="N67" s="60" t="n">
        <x:v>785.8</x:v>
      </x:c>
      <x:c r="O67" s="60" t="n">
        <x:v>1000</x:v>
      </x:c>
      <x:c r="P67" s="62"/>
      <x:c r="Q67" s="62"/>
      <x:c r="R67" s="62"/>
      <x:c r="S67" s="62"/>
      <x:c r="T67" s="62"/>
      <x:c r="U67" s="62"/>
      <x:c r="V67" s="60" t="n">
        <x:v>76.33</x:v>
      </x:c>
      <x:c r="W67" s="60" t="str">
        <x:f>IF(COUNT(P67:S67)&gt;=3,AVERAGE(P67:S67),"")</x:f>
      </x:c>
      <x:c r="X67" s="60" t="n">
        <x:f>IF(V67&lt;&gt;"",V67,W67)</x:f>
        <x:v>76.33</x:v>
      </x:c>
      <x:c r="Y67" s="40" t="str">
        <x:f>IF(V67&lt;&gt;"","공식 70% 평균백분위",IF(W67&lt;&gt;"","파생 단순평균(참고)","비교불가"))</x:f>
        <x:v>공식 70% 평균백분위</x:v>
      </x:c>
      <x:c r="Z67" s="60" t="n">
        <x:f>'추천_테스트'!$B$8</x:f>
        <x:v>80</x:v>
      </x:c>
      <x:c r="AA67" s="60" t="n">
        <x:f>IF(X67="","",Z67-X67)</x:f>
        <x:v>3.6700000000000017</x:v>
      </x:c>
      <x:c r="AB67" s="40" t="str">
        <x:f>IF(X67="","",IF(AA67&gt;='추천_테스트'!$B$10,"안정",IF(AA67&gt;='추천_테스트'!$B$11,"적정",IF(AA67&gt;='추천_테스트'!$B$12,"소신","상향"))))</x:f>
        <x:v>적정</x:v>
      </x:c>
      <x:c r="AC67" s="62"/>
      <x:c r="AD67" s="62"/>
      <x:c r="AE67" s="62"/>
      <x:c r="AF67" s="41" t="str">
        <x:v>A: 공식 70% 평균백분위 제공</x:v>
      </x:c>
      <x:c r="AG67" s="41" t="str">
        <x:v>https://www.adiga.kr/ucp/uvt/uni/univDetailSelection.do?menuId=PCUVTINF2000&amp;searchSyr=2026&amp;unvCd=0000201</x:v>
      </x:c>
    </x:row>
    <x:row r="68">
      <x:c r="A68" s="40" t="n">
        <x:v>2025</x:v>
      </x:c>
      <x:c r="B68" s="40" t="str">
        <x:v>경기도</x:v>
      </x:c>
      <x:c r="C68" s="40" t="str">
        <x:v>사립</x:v>
      </x:c>
      <x:c r="D68" s="40" t="str">
        <x:v>한세대학교</x:v>
      </x:c>
      <x:c r="E68" s="40" t="str">
        <x:v>가</x:v>
      </x:c>
      <x:c r="F68" s="40" t="str">
        <x:v>일반전형</x:v>
      </x:c>
      <x:c r="G68" s="41" t="str">
        <x:v>신학과</x:v>
      </x:c>
      <x:c r="H68" s="40"/>
      <x:c r="I68" s="40"/>
      <x:c r="J68" s="40" t="n">
        <x:v>7</x:v>
      </x:c>
      <x:c r="K68" s="60" t="n">
        <x:v>8.29</x:v>
      </x:c>
      <x:c r="L68" s="40" t="n">
        <x:v>3</x:v>
      </x:c>
      <x:c r="M68" s="60"/>
      <x:c r="N68" s="60" t="n">
        <x:v>750</x:v>
      </x:c>
      <x:c r="O68" s="60" t="n">
        <x:v>1000</x:v>
      </x:c>
      <x:c r="P68" s="62"/>
      <x:c r="Q68" s="62"/>
      <x:c r="R68" s="62"/>
      <x:c r="S68" s="62"/>
      <x:c r="T68" s="62"/>
      <x:c r="U68" s="62"/>
      <x:c r="V68" s="60" t="n">
        <x:v>75.67</x:v>
      </x:c>
      <x:c r="W68" s="60" t="str">
        <x:f>IF(COUNT(P68:S68)&gt;=3,AVERAGE(P68:S68),"")</x:f>
      </x:c>
      <x:c r="X68" s="60" t="n">
        <x:f>IF(V68&lt;&gt;"",V68,W68)</x:f>
        <x:v>75.67</x:v>
      </x:c>
      <x:c r="Y68" s="40" t="str">
        <x:f>IF(V68&lt;&gt;"","공식 70% 평균백분위",IF(W68&lt;&gt;"","파생 단순평균(참고)","비교불가"))</x:f>
        <x:v>공식 70% 평균백분위</x:v>
      </x:c>
      <x:c r="Z68" s="60" t="n">
        <x:f>'추천_테스트'!$B$8</x:f>
        <x:v>80</x:v>
      </x:c>
      <x:c r="AA68" s="60" t="n">
        <x:f>IF(X68="","",Z68-X68)</x:f>
        <x:v>4.329999999999998</x:v>
      </x:c>
      <x:c r="AB68" s="40" t="str">
        <x:f>IF(X68="","",IF(AA68&gt;='추천_테스트'!$B$10,"안정",IF(AA68&gt;='추천_테스트'!$B$11,"적정",IF(AA68&gt;='추천_테스트'!$B$12,"소신","상향"))))</x:f>
        <x:v>적정</x:v>
      </x:c>
      <x:c r="AC68" s="62"/>
      <x:c r="AD68" s="62"/>
      <x:c r="AE68" s="62"/>
      <x:c r="AF68" s="41" t="str">
        <x:v>A: 공식 70% 평균백분위 제공</x:v>
      </x:c>
      <x:c r="AG68" s="41" t="str">
        <x:v>https://www.adiga.kr/ucp/uvt/uni/univDetailSelection.do?menuId=PCUVTINF2000&amp;searchSyr=2026&amp;unvCd=0000201</x:v>
      </x:c>
    </x:row>
    <x:row r="69">
      <x:c r="A69" s="40" t="n">
        <x:v>2025</x:v>
      </x:c>
      <x:c r="B69" s="40" t="str">
        <x:v>경기도</x:v>
      </x:c>
      <x:c r="C69" s="40" t="str">
        <x:v>사립</x:v>
      </x:c>
      <x:c r="D69" s="40" t="str">
        <x:v>한세대학교</x:v>
      </x:c>
      <x:c r="E69" s="40" t="str">
        <x:v>가</x:v>
      </x:c>
      <x:c r="F69" s="40" t="str">
        <x:v>일반전형</x:v>
      </x:c>
      <x:c r="G69" s="41" t="str">
        <x:v>미디어영상광고학과</x:v>
      </x:c>
      <x:c r="H69" s="40"/>
      <x:c r="I69" s="40"/>
      <x:c r="J69" s="40" t="n">
        <x:v>8</x:v>
      </x:c>
      <x:c r="K69" s="60" t="n">
        <x:v>5.88</x:v>
      </x:c>
      <x:c r="L69" s="40" t="n">
        <x:v>23</x:v>
      </x:c>
      <x:c r="M69" s="60"/>
      <x:c r="N69" s="60" t="n">
        <x:v>799</x:v>
      </x:c>
      <x:c r="O69" s="60" t="n">
        <x:v>1000</x:v>
      </x:c>
      <x:c r="P69" s="62"/>
      <x:c r="Q69" s="62"/>
      <x:c r="R69" s="62"/>
      <x:c r="S69" s="62"/>
      <x:c r="T69" s="62"/>
      <x:c r="U69" s="62"/>
      <x:c r="V69" s="60" t="n">
        <x:v>79.33</x:v>
      </x:c>
      <x:c r="W69" s="60" t="str">
        <x:f>IF(COUNT(P69:S69)&gt;=3,AVERAGE(P69:S69),"")</x:f>
      </x:c>
      <x:c r="X69" s="60" t="n">
        <x:f>IF(V69&lt;&gt;"",V69,W69)</x:f>
        <x:v>79.33</x:v>
      </x:c>
      <x:c r="Y69" s="40" t="str">
        <x:f>IF(V69&lt;&gt;"","공식 70% 평균백분위",IF(W69&lt;&gt;"","파생 단순평균(참고)","비교불가"))</x:f>
        <x:v>공식 70% 평균백분위</x:v>
      </x:c>
      <x:c r="Z69" s="60" t="n">
        <x:f>'추천_테스트'!$B$8</x:f>
        <x:v>80</x:v>
      </x:c>
      <x:c r="AA69" s="60" t="n">
        <x:f>IF(X69="","",Z69-X69)</x:f>
        <x:v>0.6700000000000017</x:v>
      </x:c>
      <x:c r="AB69" s="40" t="str">
        <x:f>IF(X69="","",IF(AA69&gt;='추천_테스트'!$B$10,"안정",IF(AA69&gt;='추천_테스트'!$B$11,"적정",IF(AA69&gt;='추천_테스트'!$B$12,"소신","상향"))))</x:f>
        <x:v>소신</x:v>
      </x:c>
      <x:c r="AC69" s="62"/>
      <x:c r="AD69" s="62"/>
      <x:c r="AE69" s="62"/>
      <x:c r="AF69" s="41" t="str">
        <x:v>A: 공식 70% 평균백분위 제공</x:v>
      </x:c>
      <x:c r="AG69" s="41" t="str">
        <x:v>https://www.adiga.kr/ucp/uvt/uni/univDetailSelection.do?menuId=PCUVTINF2000&amp;searchSyr=2026&amp;unvCd=0000201</x:v>
      </x:c>
    </x:row>
    <x:row r="70">
      <x:c r="A70" s="40" t="n">
        <x:v>2025</x:v>
      </x:c>
      <x:c r="B70" s="40" t="str">
        <x:v>경기도</x:v>
      </x:c>
      <x:c r="C70" s="40" t="str">
        <x:v>사립</x:v>
      </x:c>
      <x:c r="D70" s="40" t="str">
        <x:v>한세대학교</x:v>
      </x:c>
      <x:c r="E70" s="40" t="str">
        <x:v>가</x:v>
      </x:c>
      <x:c r="F70" s="40" t="str">
        <x:v>일반전형</x:v>
      </x:c>
      <x:c r="G70" s="41" t="str">
        <x:v>경영학과</x:v>
      </x:c>
      <x:c r="H70" s="40"/>
      <x:c r="I70" s="40"/>
      <x:c r="J70" s="40" t="n">
        <x:v>11</x:v>
      </x:c>
      <x:c r="K70" s="60" t="n">
        <x:v>6.27</x:v>
      </x:c>
      <x:c r="L70" s="40" t="n">
        <x:v>19</x:v>
      </x:c>
      <x:c r="M70" s="60"/>
      <x:c r="N70" s="60" t="n">
        <x:v>764</x:v>
      </x:c>
      <x:c r="O70" s="60" t="n">
        <x:v>1000</x:v>
      </x:c>
      <x:c r="P70" s="62"/>
      <x:c r="Q70" s="62"/>
      <x:c r="R70" s="62"/>
      <x:c r="S70" s="62"/>
      <x:c r="T70" s="62"/>
      <x:c r="U70" s="62"/>
      <x:c r="V70" s="60" t="n">
        <x:v>77.33</x:v>
      </x:c>
      <x:c r="W70" s="60" t="str">
        <x:f>IF(COUNT(P70:S70)&gt;=3,AVERAGE(P70:S70),"")</x:f>
      </x:c>
      <x:c r="X70" s="60" t="n">
        <x:f>IF(V70&lt;&gt;"",V70,W70)</x:f>
        <x:v>77.33</x:v>
      </x:c>
      <x:c r="Y70" s="40" t="str">
        <x:f>IF(V70&lt;&gt;"","공식 70% 평균백분위",IF(W70&lt;&gt;"","파생 단순평균(참고)","비교불가"))</x:f>
        <x:v>공식 70% 평균백분위</x:v>
      </x:c>
      <x:c r="Z70" s="60" t="n">
        <x:f>'추천_테스트'!$B$8</x:f>
        <x:v>80</x:v>
      </x:c>
      <x:c r="AA70" s="60" t="n">
        <x:f>IF(X70="","",Z70-X70)</x:f>
        <x:v>2.6700000000000017</x:v>
      </x:c>
      <x:c r="AB70" s="40" t="str">
        <x:f>IF(X70="","",IF(AA70&gt;='추천_테스트'!$B$10,"안정",IF(AA70&gt;='추천_테스트'!$B$11,"적정",IF(AA70&gt;='추천_테스트'!$B$12,"소신","상향"))))</x:f>
        <x:v>적정</x:v>
      </x:c>
      <x:c r="AC70" s="62"/>
      <x:c r="AD70" s="62"/>
      <x:c r="AE70" s="62"/>
      <x:c r="AF70" s="41" t="str">
        <x:v>A: 공식 70% 평균백분위 제공</x:v>
      </x:c>
      <x:c r="AG70" s="41" t="str">
        <x:v>https://www.adiga.kr/ucp/uvt/uni/univDetailSelection.do?menuId=PCUVTINF2000&amp;searchSyr=2026&amp;unvCd=0000201</x:v>
      </x:c>
    </x:row>
    <x:row r="71">
      <x:c r="A71" s="40" t="n">
        <x:v>2025</x:v>
      </x:c>
      <x:c r="B71" s="40" t="str">
        <x:v>경기도</x:v>
      </x:c>
      <x:c r="C71" s="40" t="str">
        <x:v>사립</x:v>
      </x:c>
      <x:c r="D71" s="40" t="str">
        <x:v>한세대학교</x:v>
      </x:c>
      <x:c r="E71" s="40" t="str">
        <x:v>가</x:v>
      </x:c>
      <x:c r="F71" s="40" t="str">
        <x:v>일반전형</x:v>
      </x:c>
      <x:c r="G71" s="41" t="str">
        <x:v>관광경영학과</x:v>
      </x:c>
      <x:c r="H71" s="40"/>
      <x:c r="I71" s="40"/>
      <x:c r="J71" s="40" t="n">
        <x:v>5</x:v>
      </x:c>
      <x:c r="K71" s="60" t="n">
        <x:v>6.6</x:v>
      </x:c>
      <x:c r="L71" s="40" t="n">
        <x:v>8</x:v>
      </x:c>
      <x:c r="M71" s="60"/>
      <x:c r="N71" s="60" t="n">
        <x:v>781</x:v>
      </x:c>
      <x:c r="O71" s="60" t="n">
        <x:v>1000</x:v>
      </x:c>
      <x:c r="P71" s="62"/>
      <x:c r="Q71" s="62"/>
      <x:c r="R71" s="62"/>
      <x:c r="S71" s="62"/>
      <x:c r="T71" s="62"/>
      <x:c r="U71" s="62"/>
      <x:c r="V71" s="60" t="n">
        <x:v>77.33</x:v>
      </x:c>
      <x:c r="W71" s="60" t="str">
        <x:f>IF(COUNT(P71:S71)&gt;=3,AVERAGE(P71:S71),"")</x:f>
      </x:c>
      <x:c r="X71" s="60" t="n">
        <x:f>IF(V71&lt;&gt;"",V71,W71)</x:f>
        <x:v>77.33</x:v>
      </x:c>
      <x:c r="Y71" s="40" t="str">
        <x:f>IF(V71&lt;&gt;"","공식 70% 평균백분위",IF(W71&lt;&gt;"","파생 단순평균(참고)","비교불가"))</x:f>
        <x:v>공식 70% 평균백분위</x:v>
      </x:c>
      <x:c r="Z71" s="60" t="n">
        <x:f>'추천_테스트'!$B$8</x:f>
        <x:v>80</x:v>
      </x:c>
      <x:c r="AA71" s="60" t="n">
        <x:f>IF(X71="","",Z71-X71)</x:f>
        <x:v>2.6700000000000017</x:v>
      </x:c>
      <x:c r="AB71" s="40" t="str">
        <x:f>IF(X71="","",IF(AA71&gt;='추천_테스트'!$B$10,"안정",IF(AA71&gt;='추천_테스트'!$B$11,"적정",IF(AA71&gt;='추천_테스트'!$B$12,"소신","상향"))))</x:f>
        <x:v>적정</x:v>
      </x:c>
      <x:c r="AC71" s="62"/>
      <x:c r="AD71" s="62"/>
      <x:c r="AE71" s="62"/>
      <x:c r="AF71" s="41" t="str">
        <x:v>A: 공식 70% 평균백분위 제공</x:v>
      </x:c>
      <x:c r="AG71" s="41" t="str">
        <x:v>https://www.adiga.kr/ucp/uvt/uni/univDetailSelection.do?menuId=PCUVTINF2000&amp;searchSyr=2026&amp;unvCd=0000201</x:v>
      </x:c>
    </x:row>
    <x:row r="72">
      <x:c r="A72" s="40" t="n">
        <x:v>2025</x:v>
      </x:c>
      <x:c r="B72" s="40" t="str">
        <x:v>경기도</x:v>
      </x:c>
      <x:c r="C72" s="40" t="str">
        <x:v>사립</x:v>
      </x:c>
      <x:c r="D72" s="40" t="str">
        <x:v>한세대학교</x:v>
      </x:c>
      <x:c r="E72" s="40" t="str">
        <x:v>가</x:v>
      </x:c>
      <x:c r="F72" s="40" t="str">
        <x:v>일반전형</x:v>
      </x:c>
      <x:c r="G72" s="41" t="str">
        <x:v>경찰행정학과</x:v>
      </x:c>
      <x:c r="H72" s="40"/>
      <x:c r="I72" s="40"/>
      <x:c r="J72" s="40" t="n">
        <x:v>6</x:v>
      </x:c>
      <x:c r="K72" s="60" t="n">
        <x:v>5.5</x:v>
      </x:c>
      <x:c r="L72" s="40" t="n">
        <x:v>9</x:v>
      </x:c>
      <x:c r="M72" s="60"/>
      <x:c r="N72" s="60" t="n">
        <x:v>816.6</x:v>
      </x:c>
      <x:c r="O72" s="60" t="n">
        <x:v>1000</x:v>
      </x:c>
      <x:c r="P72" s="62"/>
      <x:c r="Q72" s="62"/>
      <x:c r="R72" s="62"/>
      <x:c r="S72" s="62"/>
      <x:c r="T72" s="62"/>
      <x:c r="U72" s="62"/>
      <x:c r="V72" s="60" t="n">
        <x:v>80.67</x:v>
      </x:c>
      <x:c r="W72" s="60" t="str">
        <x:f>IF(COUNT(P72:S72)&gt;=3,AVERAGE(P72:S72),"")</x:f>
      </x:c>
      <x:c r="X72" s="60" t="n">
        <x:f>IF(V72&lt;&gt;"",V72,W72)</x:f>
        <x:v>80.67</x:v>
      </x:c>
      <x:c r="Y72" s="40" t="str">
        <x:f>IF(V72&lt;&gt;"","공식 70% 평균백분위",IF(W72&lt;&gt;"","파생 단순평균(참고)","비교불가"))</x:f>
        <x:v>공식 70% 평균백분위</x:v>
      </x:c>
      <x:c r="Z72" s="60" t="n">
        <x:f>'추천_테스트'!$B$8</x:f>
        <x:v>80</x:v>
      </x:c>
      <x:c r="AA72" s="60" t="n">
        <x:f>IF(X72="","",Z72-X72)</x:f>
        <x:v>-0.6700000000000017</x:v>
      </x:c>
      <x:c r="AB72" s="40" t="str">
        <x:f>IF(X72="","",IF(AA72&gt;='추천_테스트'!$B$10,"안정",IF(AA72&gt;='추천_테스트'!$B$11,"적정",IF(AA72&gt;='추천_테스트'!$B$12,"소신","상향"))))</x:f>
        <x:v>소신</x:v>
      </x:c>
      <x:c r="AC72" s="62"/>
      <x:c r="AD72" s="62"/>
      <x:c r="AE72" s="62"/>
      <x:c r="AF72" s="41" t="str">
        <x:v>A: 공식 70% 평균백분위 제공</x:v>
      </x:c>
      <x:c r="AG72" s="41" t="str">
        <x:v>https://www.adiga.kr/ucp/uvt/uni/univDetailSelection.do?menuId=PCUVTINF2000&amp;searchSyr=2026&amp;unvCd=0000201</x:v>
      </x:c>
    </x:row>
    <x:row r="73">
      <x:c r="A73" s="40" t="n">
        <x:v>2025</x:v>
      </x:c>
      <x:c r="B73" s="40" t="str">
        <x:v>경기도</x:v>
      </x:c>
      <x:c r="C73" s="40" t="str">
        <x:v>사립</x:v>
      </x:c>
      <x:c r="D73" s="40" t="str">
        <x:v>한세대학교</x:v>
      </x:c>
      <x:c r="E73" s="40" t="str">
        <x:v>가</x:v>
      </x:c>
      <x:c r="F73" s="40" t="str">
        <x:v>일반전형</x:v>
      </x:c>
      <x:c r="G73" s="41" t="str">
        <x:v>사회복지학과</x:v>
      </x:c>
      <x:c r="H73" s="40"/>
      <x:c r="I73" s="40"/>
      <x:c r="J73" s="40" t="n">
        <x:v>6</x:v>
      </x:c>
      <x:c r="K73" s="60" t="n">
        <x:v>15</x:v>
      </x:c>
      <x:c r="L73" s="40" t="n">
        <x:v>5</x:v>
      </x:c>
      <x:c r="M73" s="60"/>
      <x:c r="N73" s="60" t="n">
        <x:v>773.8</x:v>
      </x:c>
      <x:c r="O73" s="60" t="n">
        <x:v>1000</x:v>
      </x:c>
      <x:c r="P73" s="62"/>
      <x:c r="Q73" s="62"/>
      <x:c r="R73" s="62"/>
      <x:c r="S73" s="62"/>
      <x:c r="T73" s="62"/>
      <x:c r="U73" s="62"/>
      <x:c r="V73" s="60" t="n">
        <x:v>75</x:v>
      </x:c>
      <x:c r="W73" s="60" t="str">
        <x:f>IF(COUNT(P73:S73)&gt;=3,AVERAGE(P73:S73),"")</x:f>
      </x:c>
      <x:c r="X73" s="60" t="n">
        <x:f>IF(V73&lt;&gt;"",V73,W73)</x:f>
        <x:v>75</x:v>
      </x:c>
      <x:c r="Y73" s="40" t="str">
        <x:f>IF(V73&lt;&gt;"","공식 70% 평균백분위",IF(W73&lt;&gt;"","파생 단순평균(참고)","비교불가"))</x:f>
        <x:v>공식 70% 평균백분위</x:v>
      </x:c>
      <x:c r="Z73" s="60" t="n">
        <x:f>'추천_테스트'!$B$8</x:f>
        <x:v>80</x:v>
      </x:c>
      <x:c r="AA73" s="60" t="n">
        <x:f>IF(X73="","",Z73-X73)</x:f>
        <x:v>5</x:v>
      </x:c>
      <x:c r="AB73" s="40" t="str">
        <x:f>IF(X73="","",IF(AA73&gt;='추천_테스트'!$B$10,"안정",IF(AA73&gt;='추천_테스트'!$B$11,"적정",IF(AA73&gt;='추천_테스트'!$B$12,"소신","상향"))))</x:f>
        <x:v>안정</x:v>
      </x:c>
      <x:c r="AC73" s="62"/>
      <x:c r="AD73" s="62"/>
      <x:c r="AE73" s="62"/>
      <x:c r="AF73" s="41" t="str">
        <x:v>A: 공식 70% 평균백분위 제공</x:v>
      </x:c>
      <x:c r="AG73" s="41" t="str">
        <x:v>https://www.adiga.kr/ucp/uvt/uni/univDetailSelection.do?menuId=PCUVTINF2000&amp;searchSyr=2026&amp;unvCd=0000201</x:v>
      </x:c>
    </x:row>
    <x:row r="74">
      <x:c r="A74" s="40" t="n">
        <x:v>2025</x:v>
      </x:c>
      <x:c r="B74" s="40" t="str">
        <x:v>경기도</x:v>
      </x:c>
      <x:c r="C74" s="40" t="str">
        <x:v>사립</x:v>
      </x:c>
      <x:c r="D74" s="40" t="str">
        <x:v>한세대학교</x:v>
      </x:c>
      <x:c r="E74" s="40" t="str">
        <x:v>가</x:v>
      </x:c>
      <x:c r="F74" s="40" t="str">
        <x:v>일반전형</x:v>
      </x:c>
      <x:c r="G74" s="41" t="str">
        <x:v>영어학과</x:v>
      </x:c>
      <x:c r="H74" s="40"/>
      <x:c r="I74" s="40"/>
      <x:c r="J74" s="40" t="n">
        <x:v>4</x:v>
      </x:c>
      <x:c r="K74" s="60" t="n">
        <x:v>5.5</x:v>
      </x:c>
      <x:c r="L74" s="40" t="n">
        <x:v>14</x:v>
      </x:c>
      <x:c r="M74" s="60"/>
      <x:c r="N74" s="60" t="n">
        <x:v>759</x:v>
      </x:c>
      <x:c r="O74" s="60" t="n">
        <x:v>1000</x:v>
      </x:c>
      <x:c r="P74" s="62"/>
      <x:c r="Q74" s="62"/>
      <x:c r="R74" s="62"/>
      <x:c r="S74" s="62"/>
      <x:c r="T74" s="62"/>
      <x:c r="U74" s="62"/>
      <x:c r="V74" s="60" t="n">
        <x:v>73</x:v>
      </x:c>
      <x:c r="W74" s="60" t="str">
        <x:f>IF(COUNT(P74:S74)&gt;=3,AVERAGE(P74:S74),"")</x:f>
      </x:c>
      <x:c r="X74" s="60" t="n">
        <x:f>IF(V74&lt;&gt;"",V74,W74)</x:f>
        <x:v>73</x:v>
      </x:c>
      <x:c r="Y74" s="40" t="str">
        <x:f>IF(V74&lt;&gt;"","공식 70% 평균백분위",IF(W74&lt;&gt;"","파생 단순평균(참고)","비교불가"))</x:f>
        <x:v>공식 70% 평균백분위</x:v>
      </x:c>
      <x:c r="Z74" s="60" t="n">
        <x:f>'추천_테스트'!$B$8</x:f>
        <x:v>80</x:v>
      </x:c>
      <x:c r="AA74" s="60" t="n">
        <x:f>IF(X74="","",Z74-X74)</x:f>
        <x:v>7</x:v>
      </x:c>
      <x:c r="AB74" s="40" t="str">
        <x:f>IF(X74="","",IF(AA74&gt;='추천_테스트'!$B$10,"안정",IF(AA74&gt;='추천_테스트'!$B$11,"적정",IF(AA74&gt;='추천_테스트'!$B$12,"소신","상향"))))</x:f>
        <x:v>안정</x:v>
      </x:c>
      <x:c r="AC74" s="62"/>
      <x:c r="AD74" s="62"/>
      <x:c r="AE74" s="62"/>
      <x:c r="AF74" s="41" t="str">
        <x:v>A: 공식 70% 평균백분위 제공</x:v>
      </x:c>
      <x:c r="AG74" s="41" t="str">
        <x:v>https://www.adiga.kr/ucp/uvt/uni/univDetailSelection.do?menuId=PCUVTINF2000&amp;searchSyr=2026&amp;unvCd=0000201</x:v>
      </x:c>
    </x:row>
    <x:row r="75">
      <x:c r="A75" s="40" t="n">
        <x:v>2025</x:v>
      </x:c>
      <x:c r="B75" s="40" t="str">
        <x:v>경기도</x:v>
      </x:c>
      <x:c r="C75" s="40" t="str">
        <x:v>사립</x:v>
      </x:c>
      <x:c r="D75" s="40" t="str">
        <x:v>한세대학교</x:v>
      </x:c>
      <x:c r="E75" s="40" t="str">
        <x:v>가</x:v>
      </x:c>
      <x:c r="F75" s="40" t="str">
        <x:v>일반전형</x:v>
      </x:c>
      <x:c r="G75" s="41" t="str">
        <x:v>중국어학과</x:v>
      </x:c>
      <x:c r="H75" s="40"/>
      <x:c r="I75" s="40"/>
      <x:c r="J75" s="40" t="n">
        <x:v>5</x:v>
      </x:c>
      <x:c r="K75" s="60" t="n">
        <x:v>6.4</x:v>
      </x:c>
      <x:c r="L75" s="40" t="n">
        <x:v>4</x:v>
      </x:c>
      <x:c r="M75" s="60"/>
      <x:c r="N75" s="60" t="n">
        <x:v>785</x:v>
      </x:c>
      <x:c r="O75" s="60" t="n">
        <x:v>1000</x:v>
      </x:c>
      <x:c r="P75" s="62"/>
      <x:c r="Q75" s="62"/>
      <x:c r="R75" s="62"/>
      <x:c r="S75" s="62"/>
      <x:c r="T75" s="62"/>
      <x:c r="U75" s="62"/>
      <x:c r="V75" s="60" t="n">
        <x:v>77.33</x:v>
      </x:c>
      <x:c r="W75" s="60" t="str">
        <x:f>IF(COUNT(P75:S75)&gt;=3,AVERAGE(P75:S75),"")</x:f>
      </x:c>
      <x:c r="X75" s="60" t="n">
        <x:f>IF(V75&lt;&gt;"",V75,W75)</x:f>
        <x:v>77.33</x:v>
      </x:c>
      <x:c r="Y75" s="40" t="str">
        <x:f>IF(V75&lt;&gt;"","공식 70% 평균백분위",IF(W75&lt;&gt;"","파생 단순평균(참고)","비교불가"))</x:f>
        <x:v>공식 70% 평균백분위</x:v>
      </x:c>
      <x:c r="Z75" s="60" t="n">
        <x:f>'추천_테스트'!$B$8</x:f>
        <x:v>80</x:v>
      </x:c>
      <x:c r="AA75" s="60" t="n">
        <x:f>IF(X75="","",Z75-X75)</x:f>
        <x:v>2.6700000000000017</x:v>
      </x:c>
      <x:c r="AB75" s="40" t="str">
        <x:f>IF(X75="","",IF(AA75&gt;='추천_테스트'!$B$10,"안정",IF(AA75&gt;='추천_테스트'!$B$11,"적정",IF(AA75&gt;='추천_테스트'!$B$12,"소신","상향"))))</x:f>
        <x:v>적정</x:v>
      </x:c>
      <x:c r="AC75" s="62"/>
      <x:c r="AD75" s="62"/>
      <x:c r="AE75" s="62"/>
      <x:c r="AF75" s="41" t="str">
        <x:v>A: 공식 70% 평균백분위 제공</x:v>
      </x:c>
      <x:c r="AG75" s="41" t="str">
        <x:v>https://www.adiga.kr/ucp/uvt/uni/univDetailSelection.do?menuId=PCUVTINF2000&amp;searchSyr=2026&amp;unvCd=0000201</x:v>
      </x:c>
    </x:row>
    <x:row r="76">
      <x:c r="A76" s="40" t="n">
        <x:v>2025</x:v>
      </x:c>
      <x:c r="B76" s="40" t="str">
        <x:v>경기도</x:v>
      </x:c>
      <x:c r="C76" s="40" t="str">
        <x:v>사립</x:v>
      </x:c>
      <x:c r="D76" s="40" t="str">
        <x:v>한세대학교</x:v>
      </x:c>
      <x:c r="E76" s="40" t="str">
        <x:v>가</x:v>
      </x:c>
      <x:c r="F76" s="40" t="str">
        <x:v>일반전형</x:v>
      </x:c>
      <x:c r="G76" s="41" t="str">
        <x:v>IT학부</x:v>
      </x:c>
      <x:c r="H76" s="40"/>
      <x:c r="I76" s="40"/>
      <x:c r="J76" s="40" t="n">
        <x:v>15</x:v>
      </x:c>
      <x:c r="K76" s="60" t="n">
        <x:v>4.33</x:v>
      </x:c>
      <x:c r="L76" s="40" t="n">
        <x:v>16</x:v>
      </x:c>
      <x:c r="M76" s="60"/>
      <x:c r="N76" s="60" t="n">
        <x:v>789</x:v>
      </x:c>
      <x:c r="O76" s="60" t="n">
        <x:v>1000</x:v>
      </x:c>
      <x:c r="P76" s="62"/>
      <x:c r="Q76" s="62"/>
      <x:c r="R76" s="62"/>
      <x:c r="S76" s="62"/>
      <x:c r="T76" s="62"/>
      <x:c r="U76" s="62"/>
      <x:c r="V76" s="60" t="n">
        <x:v>80</x:v>
      </x:c>
      <x:c r="W76" s="60" t="str">
        <x:f>IF(COUNT(P76:S76)&gt;=3,AVERAGE(P76:S76),"")</x:f>
      </x:c>
      <x:c r="X76" s="60" t="n">
        <x:f>IF(V76&lt;&gt;"",V76,W76)</x:f>
        <x:v>80</x:v>
      </x:c>
      <x:c r="Y76" s="40" t="str">
        <x:f>IF(V76&lt;&gt;"","공식 70% 평균백분위",IF(W76&lt;&gt;"","파생 단순평균(참고)","비교불가"))</x:f>
        <x:v>공식 70% 평균백분위</x:v>
      </x:c>
      <x:c r="Z76" s="60" t="n">
        <x:f>'추천_테스트'!$B$8</x:f>
        <x:v>80</x:v>
      </x:c>
      <x:c r="AA76" s="60" t="n">
        <x:f>IF(X76="","",Z76-X76)</x:f>
        <x:v>0</x:v>
      </x:c>
      <x:c r="AB76" s="40" t="str">
        <x:f>IF(X76="","",IF(AA76&gt;='추천_테스트'!$B$10,"안정",IF(AA76&gt;='추천_테스트'!$B$11,"적정",IF(AA76&gt;='추천_테스트'!$B$12,"소신","상향"))))</x:f>
        <x:v>소신</x:v>
      </x:c>
      <x:c r="AC76" s="62"/>
      <x:c r="AD76" s="62"/>
      <x:c r="AE76" s="62"/>
      <x:c r="AF76" s="41" t="str">
        <x:v>A: 공식 70% 평균백분위 제공</x:v>
      </x:c>
      <x:c r="AG76" s="41" t="str">
        <x:v>https://www.adiga.kr/ucp/uvt/uni/univDetailSelection.do?menuId=PCUVTINF2000&amp;searchSyr=2026&amp;unvCd=0000201</x:v>
      </x:c>
    </x:row>
    <x:row r="77">
      <x:c r="A77" s="40" t="n">
        <x:v>2025</x:v>
      </x:c>
      <x:c r="B77" s="40" t="str">
        <x:v>경기도</x:v>
      </x:c>
      <x:c r="C77" s="40" t="str">
        <x:v>사립</x:v>
      </x:c>
      <x:c r="D77" s="40" t="str">
        <x:v>한세대학교</x:v>
      </x:c>
      <x:c r="E77" s="40" t="str">
        <x:v>가</x:v>
      </x:c>
      <x:c r="F77" s="40" t="str">
        <x:v>일반전형</x:v>
      </x:c>
      <x:c r="G77" s="41" t="str">
        <x:v>간호학과</x:v>
      </x:c>
      <x:c r="H77" s="40"/>
      <x:c r="I77" s="40"/>
      <x:c r="J77" s="40" t="n">
        <x:v>13</x:v>
      </x:c>
      <x:c r="K77" s="60" t="n">
        <x:v>4.23</x:v>
      </x:c>
      <x:c r="L77" s="40" t="n">
        <x:v>19</x:v>
      </x:c>
      <x:c r="M77" s="60"/>
      <x:c r="N77" s="60" t="n">
        <x:v>837</x:v>
      </x:c>
      <x:c r="O77" s="60" t="n">
        <x:v>1000</x:v>
      </x:c>
      <x:c r="P77" s="62"/>
      <x:c r="Q77" s="62"/>
      <x:c r="R77" s="62"/>
      <x:c r="S77" s="62"/>
      <x:c r="T77" s="62"/>
      <x:c r="U77" s="62"/>
      <x:c r="V77" s="60" t="n">
        <x:v>84.33</x:v>
      </x:c>
      <x:c r="W77" s="60" t="str">
        <x:f>IF(COUNT(P77:S77)&gt;=3,AVERAGE(P77:S77),"")</x:f>
      </x:c>
      <x:c r="X77" s="60" t="n">
        <x:f>IF(V77&lt;&gt;"",V77,W77)</x:f>
        <x:v>84.33</x:v>
      </x:c>
      <x:c r="Y77" s="40" t="str">
        <x:f>IF(V77&lt;&gt;"","공식 70% 평균백분위",IF(W77&lt;&gt;"","파생 단순평균(참고)","비교불가"))</x:f>
        <x:v>공식 70% 평균백분위</x:v>
      </x:c>
      <x:c r="Z77" s="60" t="n">
        <x:f>'추천_테스트'!$B$8</x:f>
        <x:v>80</x:v>
      </x:c>
      <x:c r="AA77" s="60" t="n">
        <x:f>IF(X77="","",Z77-X77)</x:f>
        <x:v>-4.329999999999998</x:v>
      </x:c>
      <x:c r="AB77" s="40" t="str">
        <x:f>IF(X77="","",IF(AA77&gt;='추천_테스트'!$B$10,"안정",IF(AA77&gt;='추천_테스트'!$B$11,"적정",IF(AA77&gt;='추천_테스트'!$B$12,"소신","상향"))))</x:f>
        <x:v>상향</x:v>
      </x:c>
      <x:c r="AC77" s="62"/>
      <x:c r="AD77" s="62"/>
      <x:c r="AE77" s="62"/>
      <x:c r="AF77" s="41" t="str">
        <x:v>A: 공식 70% 평균백분위 제공</x:v>
      </x:c>
      <x:c r="AG77" s="41" t="str">
        <x:v>https://www.adiga.kr/ucp/uvt/uni/univDetailSelection.do?menuId=PCUVTINF2000&amp;searchSyr=2026&amp;unvCd=0000201</x:v>
      </x:c>
    </x:row>
    <x:row r="78">
      <x:c r="A78" s="40" t="n">
        <x:v>2025</x:v>
      </x:c>
      <x:c r="B78" s="40" t="str">
        <x:v>경기도</x:v>
      </x:c>
      <x:c r="C78" s="40" t="str">
        <x:v>사립</x:v>
      </x:c>
      <x:c r="D78" s="40" t="str">
        <x:v>한세대학교</x:v>
      </x:c>
      <x:c r="E78" s="40" t="str">
        <x:v>가</x:v>
      </x:c>
      <x:c r="F78" s="40" t="str">
        <x:v>일반전형</x:v>
      </x:c>
      <x:c r="G78" s="41" t="str">
        <x:v>디자인학부</x:v>
      </x:c>
      <x:c r="H78" s="40"/>
      <x:c r="I78" s="40"/>
      <x:c r="J78" s="40" t="n">
        <x:v>30</x:v>
      </x:c>
      <x:c r="K78" s="60" t="n">
        <x:v>4.67</x:v>
      </x:c>
      <x:c r="L78" s="40" t="n">
        <x:v>27</x:v>
      </x:c>
      <x:c r="M78" s="60"/>
      <x:c r="N78" s="60" t="n">
        <x:v>762</x:v>
      </x:c>
      <x:c r="O78" s="60" t="n">
        <x:v>1000</x:v>
      </x:c>
      <x:c r="P78" s="62"/>
      <x:c r="Q78" s="62"/>
      <x:c r="R78" s="62"/>
      <x:c r="S78" s="62"/>
      <x:c r="T78" s="62"/>
      <x:c r="U78" s="62"/>
      <x:c r="V78" s="60" t="n">
        <x:v>76.33</x:v>
      </x:c>
      <x:c r="W78" s="60" t="str">
        <x:f>IF(COUNT(P78:S78)&gt;=3,AVERAGE(P78:S78),"")</x:f>
      </x:c>
      <x:c r="X78" s="60" t="n">
        <x:f>IF(V78&lt;&gt;"",V78,W78)</x:f>
        <x:v>76.33</x:v>
      </x:c>
      <x:c r="Y78" s="40" t="str">
        <x:f>IF(V78&lt;&gt;"","공식 70% 평균백분위",IF(W78&lt;&gt;"","파생 단순평균(참고)","비교불가"))</x:f>
        <x:v>공식 70% 평균백분위</x:v>
      </x:c>
      <x:c r="Z78" s="60" t="n">
        <x:f>'추천_테스트'!$B$8</x:f>
        <x:v>80</x:v>
      </x:c>
      <x:c r="AA78" s="60" t="n">
        <x:f>IF(X78="","",Z78-X78)</x:f>
        <x:v>3.6700000000000017</x:v>
      </x:c>
      <x:c r="AB78" s="40" t="str">
        <x:f>IF(X78="","",IF(AA78&gt;='추천_테스트'!$B$10,"안정",IF(AA78&gt;='추천_테스트'!$B$11,"적정",IF(AA78&gt;='추천_테스트'!$B$12,"소신","상향"))))</x:f>
        <x:v>적정</x:v>
      </x:c>
      <x:c r="AC78" s="62"/>
      <x:c r="AD78" s="62"/>
      <x:c r="AE78" s="62"/>
      <x:c r="AF78" s="41" t="str">
        <x:v>A: 공식 70% 평균백분위 제공</x:v>
      </x:c>
      <x:c r="AG78" s="41" t="str">
        <x:v>https://www.adiga.kr/ucp/uvt/uni/univDetailSelection.do?menuId=PCUVTINF2000&amp;searchSyr=2026&amp;unvCd=0000201</x:v>
      </x:c>
    </x:row>
    <x:row r="79">
      <x:c r="A79" s="40" t="n">
        <x:v>2025</x:v>
      </x:c>
      <x:c r="B79" s="40" t="str">
        <x:v>강원특별자치도</x:v>
      </x:c>
      <x:c r="C79" s="40" t="str">
        <x:v>국립</x:v>
      </x:c>
      <x:c r="D79" s="40" t="str">
        <x:v>춘천교육대학교</x:v>
      </x:c>
      <x:c r="E79" s="40" t="str">
        <x:v>나</x:v>
      </x:c>
      <x:c r="F79" s="40" t="str">
        <x:v>(수능)일반학생</x:v>
      </x:c>
      <x:c r="G79" s="41" t="str">
        <x:v>초등교육과</x:v>
      </x:c>
      <x:c r="H79" s="40" t="n">
        <x:v>116</x:v>
      </x:c>
      <x:c r="I79" s="40" t="n">
        <x:v>55</x:v>
      </x:c>
      <x:c r="J79" s="40" t="n">
        <x:v>171</x:v>
      </x:c>
      <x:c r="K79" s="60" t="n">
        <x:v>2.5</x:v>
      </x:c>
      <x:c r="L79" s="40" t="n">
        <x:v>74</x:v>
      </x:c>
      <x:c r="M79" s="60" t="n">
        <x:v>460.8</x:v>
      </x:c>
      <x:c r="N79" s="60" t="n">
        <x:v>451</x:v>
      </x:c>
      <x:c r="O79" s="60" t="n">
        <x:v>700</x:v>
      </x:c>
      <x:c r="P79" s="62" t="n">
        <x:v>75</x:v>
      </x:c>
      <x:c r="Q79" s="62" t="n">
        <x:v>66</x:v>
      </x:c>
      <x:c r="R79" s="62" t="n">
        <x:v>72</x:v>
      </x:c>
      <x:c r="S79" s="62" t="n">
        <x:v>73</x:v>
      </x:c>
      <x:c r="T79" s="62" t="n">
        <x:v>3</x:v>
      </x:c>
      <x:c r="U79" s="62" t="n">
        <x:v>2</x:v>
      </x:c>
      <x:c r="V79" s="60"/>
      <x:c r="W79" s="60" t="n">
        <x:f>IF(COUNT(P79:S79)&gt;=3,AVERAGE(P79:S79),"")</x:f>
        <x:v>71.5</x:v>
      </x:c>
      <x:c r="X79" s="60" t="n">
        <x:f>IF(V79&lt;&gt;"",V79,W79)</x:f>
        <x:v>71.5</x:v>
      </x:c>
      <x:c r="Y79" s="40" t="str">
        <x:f>IF(V79&lt;&gt;"","공식 70% 평균백분위",IF(W79&lt;&gt;"","파생 단순평균(참고)","비교불가"))</x:f>
        <x:v>파생 단순평균(참고)</x:v>
      </x:c>
      <x:c r="Z79" s="60" t="n">
        <x:f>'추천_테스트'!$B$8</x:f>
        <x:v>80</x:v>
      </x:c>
      <x:c r="AA79" s="60" t="n">
        <x:f>IF(X79="","",Z79-X79)</x:f>
        <x:v>8.5</x:v>
      </x:c>
      <x:c r="AB79" s="40" t="str">
        <x:f>IF(X79="","",IF(AA79&gt;='추천_테스트'!$B$10,"안정",IF(AA79&gt;='추천_테스트'!$B$11,"적정",IF(AA79&gt;='추천_테스트'!$B$12,"소신","상향"))))</x:f>
        <x:v>안정</x:v>
      </x:c>
      <x:c r="AC79" s="62" t="n">
        <x:v>53.8</x:v>
      </x:c>
      <x:c r="AD79" s="62" t="n">
        <x:v>42.7</x:v>
      </x:c>
      <x:c r="AE79" s="62" t="n">
        <x:v>3.5</x:v>
      </x:c>
      <x:c r="AF79" s="41" t="str">
        <x:v>B: 공식 과목별 70% 백분위 → 단순평균 파생</x:v>
      </x:c>
      <x:c r="AG79" s="41" t="str">
        <x:v>https://www.adiga.kr/ucp/uvt/uni/univDetailSelection.do?menuId=PCUVTINF2000&amp;searchSyr=2026&amp;unvCd=0000262</x:v>
      </x:c>
    </x:row>
    <x:row r="80">
      <x:c r="A80" s="40" t="n">
        <x:v>2025</x:v>
      </x:c>
      <x:c r="B80" s="40" t="str">
        <x:v>광주광역시</x:v>
      </x:c>
      <x:c r="C80" s="40" t="str">
        <x:v>국립</x:v>
      </x:c>
      <x:c r="D80" s="40" t="str">
        <x:v>광주교육대학교</x:v>
      </x:c>
      <x:c r="E80" s="40" t="str">
        <x:v>나</x:v>
      </x:c>
      <x:c r="F80" s="40" t="str">
        <x:v>수능위주(일반전형)</x:v>
      </x:c>
      <x:c r="G80" s="41" t="str">
        <x:v>초등교육과</x:v>
      </x:c>
      <x:c r="H80" s="40" t="n">
        <x:v>95</x:v>
      </x:c>
      <x:c r="I80" s="40" t="n">
        <x:v>10</x:v>
      </x:c>
      <x:c r="J80" s="40" t="n">
        <x:v>105</x:v>
      </x:c>
      <x:c r="K80" s="60" t="n">
        <x:v>2.66</x:v>
      </x:c>
      <x:c r="L80" s="40" t="n">
        <x:v>58</x:v>
      </x:c>
      <x:c r="M80" s="60" t="n">
        <x:v>830.25</x:v>
      </x:c>
      <x:c r="N80" s="60" t="n">
        <x:v>800.25</x:v>
      </x:c>
      <x:c r="O80" s="60" t="n">
        <x:v>1000</x:v>
      </x:c>
      <x:c r="P80" s="62" t="n">
        <x:v>70</x:v>
      </x:c>
      <x:c r="Q80" s="62" t="n">
        <x:v>78</x:v>
      </x:c>
      <x:c r="R80" s="62" t="n">
        <x:v>80</x:v>
      </x:c>
      <x:c r="S80" s="62" t="n">
        <x:v>79</x:v>
      </x:c>
      <x:c r="T80" s="62" t="n">
        <x:v>3</x:v>
      </x:c>
      <x:c r="U80" s="62" t="n">
        <x:v>3</x:v>
      </x:c>
      <x:c r="V80" s="60"/>
      <x:c r="W80" s="60" t="n">
        <x:f>IF(COUNT(P80:S80)&gt;=3,AVERAGE(P80:S80),"")</x:f>
        <x:v>76.75</x:v>
      </x:c>
      <x:c r="X80" s="60" t="n">
        <x:f>IF(V80&lt;&gt;"",V80,W80)</x:f>
        <x:v>76.75</x:v>
      </x:c>
      <x:c r="Y80" s="40" t="str">
        <x:f>IF(V80&lt;&gt;"","공식 70% 평균백분위",IF(W80&lt;&gt;"","파생 단순평균(참고)","비교불가"))</x:f>
        <x:v>파생 단순평균(참고)</x:v>
      </x:c>
      <x:c r="Z80" s="60" t="n">
        <x:f>'추천_테스트'!$B$8</x:f>
        <x:v>80</x:v>
      </x:c>
      <x:c r="AA80" s="60" t="n">
        <x:f>IF(X80="","",Z80-X80)</x:f>
        <x:v>3.25</x:v>
      </x:c>
      <x:c r="AB80" s="40" t="str">
        <x:f>IF(X80="","",IF(AA80&gt;='추천_테스트'!$B$10,"안정",IF(AA80&gt;='추천_테스트'!$B$11,"적정",IF(AA80&gt;='추천_테스트'!$B$12,"소신","상향"))))</x:f>
        <x:v>적정</x:v>
      </x:c>
      <x:c r="AC80" s="62" t="n">
        <x:v>44.2</x:v>
      </x:c>
      <x:c r="AD80" s="62" t="n">
        <x:v>51</x:v>
      </x:c>
      <x:c r="AE80" s="62" t="n">
        <x:v>4.8</x:v>
      </x:c>
      <x:c r="AF80" s="41" t="str">
        <x:v>B: 공식 과목별 70% 백분위 → 단순평균 파생</x:v>
      </x:c>
      <x:c r="AG80" s="41" t="str">
        <x:v>https://www.adiga.kr/ucp/uvt/uni/univDetailSelection.do?menuId=PCUVTINF2000&amp;searchSyr=2026&amp;unvCd=0000252</x:v>
      </x:c>
    </x:row>
    <x:row r="81">
      <x:c r="A81" s="40" t="n">
        <x:v>2025</x:v>
      </x:c>
      <x:c r="B81" s="40" t="str">
        <x:v>인천광역시</x:v>
      </x:c>
      <x:c r="C81" s="40" t="str">
        <x:v>사립</x:v>
      </x:c>
      <x:c r="D81" s="40" t="str">
        <x:v>인하대학교</x:v>
      </x:c>
      <x:c r="E81" s="40" t="str">
        <x:v>가</x:v>
      </x:c>
      <x:c r="F81" s="40" t="str">
        <x:v>일반전형</x:v>
      </x:c>
      <x:c r="G81" s="41" t="str">
        <x:v>조선해양공학과</x:v>
      </x:c>
      <x:c r="H81" s="40" t="n">
        <x:v>7</x:v>
      </x:c>
      <x:c r="I81" s="40" t="n">
        <x:v>0</x:v>
      </x:c>
      <x:c r="J81" s="40" t="n">
        <x:v>7</x:v>
      </x:c>
      <x:c r="K81" s="60" t="n">
        <x:v>6</x:v>
      </x:c>
      <x:c r="L81" s="40" t="n">
        <x:v>3</x:v>
      </x:c>
      <x:c r="M81" s="60" t="n">
        <x:v>890.8</x:v>
      </x:c>
      <x:c r="N81" s="60" t="n">
        <x:v>890.6</x:v>
      </x:c>
      <x:c r="O81" s="60" t="n">
        <x:v>1000</x:v>
      </x:c>
      <x:c r="P81" s="62" t="n">
        <x:v>72</x:v>
      </x:c>
      <x:c r="Q81" s="62" t="n">
        <x:v>81</x:v>
      </x:c>
      <x:c r="R81" s="62" t="n">
        <x:v>90</x:v>
      </x:c>
      <x:c r="S81" s="62" t="n">
        <x:v>97</x:v>
      </x:c>
      <x:c r="T81" s="62" t="n">
        <x:v>2</x:v>
      </x:c>
      <x:c r="U81" s="62" t="n">
        <x:v>1</x:v>
      </x:c>
      <x:c r="V81" s="60"/>
      <x:c r="W81" s="60" t="n">
        <x:f>IF(COUNT(P81:S81)&gt;=3,AVERAGE(P81:S81),"")</x:f>
        <x:v>85</x:v>
      </x:c>
      <x:c r="X81" s="60" t="n">
        <x:f>IF(V81&lt;&gt;"",V81,W81)</x:f>
        <x:v>85</x:v>
      </x:c>
      <x:c r="Y81" s="40" t="str">
        <x:f>IF(V81&lt;&gt;"","공식 70% 평균백분위",IF(W81&lt;&gt;"","파생 단순평균(참고)","비교불가"))</x:f>
        <x:v>파생 단순평균(참고)</x:v>
      </x:c>
      <x:c r="Z81" s="60" t="n">
        <x:f>'추천_테스트'!$B$8</x:f>
        <x:v>80</x:v>
      </x:c>
      <x:c r="AA81" s="60" t="n">
        <x:f>IF(X81="","",Z81-X81)</x:f>
        <x:v>-5</x:v>
      </x:c>
      <x:c r="AB81" s="40" t="str">
        <x:f>IF(X81="","",IF(AA81&gt;='추천_테스트'!$B$10,"안정",IF(AA81&gt;='추천_테스트'!$B$11,"적정",IF(AA81&gt;='추천_테스트'!$B$12,"소신","상향"))))</x:f>
        <x:v>상향</x:v>
      </x:c>
      <x:c r="AC81" s="62"/>
      <x:c r="AD81" s="62" t="n">
        <x:v>71</x:v>
      </x:c>
      <x:c r="AE81" s="62" t="n">
        <x:v>29</x:v>
      </x:c>
      <x:c r="AF81" s="41" t="str">
        <x:v>B: 공식 과목별 70% 백분위 → 단순평균 파생</x:v>
      </x:c>
      <x:c r="AG81" s="41" t="str">
        <x:v>https://www.adiga.kr/ucp/uvt/uni/univDetailSelection.do?menuId=PCUVTINF2000&amp;searchSyr=2026&amp;unvCd=0000169</x:v>
      </x:c>
    </x:row>
    <x:row r="82">
      <x:c r="A82" s="40" t="n">
        <x:v>2025</x:v>
      </x:c>
      <x:c r="B82" s="40" t="str">
        <x:v>인천광역시</x:v>
      </x:c>
      <x:c r="C82" s="40" t="str">
        <x:v>사립</x:v>
      </x:c>
      <x:c r="D82" s="40" t="str">
        <x:v>인하대학교</x:v>
      </x:c>
      <x:c r="E82" s="40" t="str">
        <x:v>가</x:v>
      </x:c>
      <x:c r="F82" s="40" t="str">
        <x:v>일반전형</x:v>
      </x:c>
      <x:c r="G82" s="41" t="str">
        <x:v>산업경영공학과</x:v>
      </x:c>
      <x:c r="H82" s="40" t="n">
        <x:v>5</x:v>
      </x:c>
      <x:c r="I82" s="40" t="n">
        <x:v>0</x:v>
      </x:c>
      <x:c r="J82" s="40" t="n">
        <x:v>5</x:v>
      </x:c>
      <x:c r="K82" s="60" t="n">
        <x:v>6.2</x:v>
      </x:c>
      <x:c r="L82" s="40" t="n">
        <x:v>5</x:v>
      </x:c>
      <x:c r="M82" s="60" t="n">
        <x:v>891.7</x:v>
      </x:c>
      <x:c r="N82" s="60" t="n">
        <x:v>891.3</x:v>
      </x:c>
      <x:c r="O82" s="60" t="n">
        <x:v>1000</x:v>
      </x:c>
      <x:c r="P82" s="62" t="n">
        <x:v>82</x:v>
      </x:c>
      <x:c r="Q82" s="62" t="n">
        <x:v>87</x:v>
      </x:c>
      <x:c r="R82" s="62" t="n">
        <x:v>81</x:v>
      </x:c>
      <x:c r="S82" s="62" t="n">
        <x:v>83</x:v>
      </x:c>
      <x:c r="T82" s="62" t="n">
        <x:v>3</x:v>
      </x:c>
      <x:c r="U82" s="62" t="n">
        <x:v>3</x:v>
      </x:c>
      <x:c r="V82" s="60"/>
      <x:c r="W82" s="60" t="n">
        <x:f>IF(COUNT(P82:S82)&gt;=3,AVERAGE(P82:S82),"")</x:f>
        <x:v>83.25</x:v>
      </x:c>
      <x:c r="X82" s="60" t="n">
        <x:f>IF(V82&lt;&gt;"",V82,W82)</x:f>
        <x:v>83.25</x:v>
      </x:c>
      <x:c r="Y82" s="40" t="str">
        <x:f>IF(V82&lt;&gt;"","공식 70% 평균백분위",IF(W82&lt;&gt;"","파생 단순평균(참고)","비교불가"))</x:f>
        <x:v>파생 단순평균(참고)</x:v>
      </x:c>
      <x:c r="Z82" s="60" t="n">
        <x:f>'추천_테스트'!$B$8</x:f>
        <x:v>80</x:v>
      </x:c>
      <x:c r="AA82" s="60" t="n">
        <x:f>IF(X82="","",Z82-X82)</x:f>
        <x:v>-3.25</x:v>
      </x:c>
      <x:c r="AB82" s="40" t="str">
        <x:f>IF(X82="","",IF(AA82&gt;='추천_테스트'!$B$10,"안정",IF(AA82&gt;='추천_테스트'!$B$11,"적정",IF(AA82&gt;='추천_테스트'!$B$12,"소신","상향"))))</x:f>
        <x:v>상향</x:v>
      </x:c>
      <x:c r="AC82" s="62"/>
      <x:c r="AD82" s="62" t="n">
        <x:v>100</x:v>
      </x:c>
      <x:c r="AE82" s="62"/>
      <x:c r="AF82" s="41" t="str">
        <x:v>B: 공식 과목별 70% 백분위 → 단순평균 파생</x:v>
      </x:c>
      <x:c r="AG82" s="41" t="str">
        <x:v>https://www.adiga.kr/ucp/uvt/uni/univDetailSelection.do?menuId=PCUVTINF2000&amp;searchSyr=2026&amp;unvCd=0000169</x:v>
      </x:c>
    </x:row>
    <x:row r="83">
      <x:c r="A83" s="40" t="n">
        <x:v>2025</x:v>
      </x:c>
      <x:c r="B83" s="40" t="str">
        <x:v>인천광역시</x:v>
      </x:c>
      <x:c r="C83" s="40" t="str">
        <x:v>사립</x:v>
      </x:c>
      <x:c r="D83" s="40" t="str">
        <x:v>인하대학교</x:v>
      </x:c>
      <x:c r="E83" s="40" t="str">
        <x:v>가</x:v>
      </x:c>
      <x:c r="F83" s="40" t="str">
        <x:v>일반전형</x:v>
      </x:c>
      <x:c r="G83" s="41" t="str">
        <x:v>환경공학과</x:v>
      </x:c>
      <x:c r="H83" s="40" t="n">
        <x:v>6</x:v>
      </x:c>
      <x:c r="I83" s="40" t="n">
        <x:v>0</x:v>
      </x:c>
      <x:c r="J83" s="40" t="n">
        <x:v>6</x:v>
      </x:c>
      <x:c r="K83" s="60" t="n">
        <x:v>6</x:v>
      </x:c>
      <x:c r="L83" s="40" t="n">
        <x:v>5</x:v>
      </x:c>
      <x:c r="M83" s="60" t="n">
        <x:v>888</x:v>
      </x:c>
      <x:c r="N83" s="60" t="n">
        <x:v>887.3</x:v>
      </x:c>
      <x:c r="O83" s="60" t="n">
        <x:v>1000</x:v>
      </x:c>
      <x:c r="P83" s="62" t="n">
        <x:v>77</x:v>
      </x:c>
      <x:c r="Q83" s="62" t="n">
        <x:v>90</x:v>
      </x:c>
      <x:c r="R83" s="62" t="n">
        <x:v>87</x:v>
      </x:c>
      <x:c r="S83" s="62" t="n">
        <x:v>75</x:v>
      </x:c>
      <x:c r="T83" s="62" t="n">
        <x:v>4</x:v>
      </x:c>
      <x:c r="U83" s="62" t="n">
        <x:v>4</x:v>
      </x:c>
      <x:c r="V83" s="60"/>
      <x:c r="W83" s="60" t="n">
        <x:f>IF(COUNT(P83:S83)&gt;=3,AVERAGE(P83:S83),"")</x:f>
        <x:v>82.25</x:v>
      </x:c>
      <x:c r="X83" s="60" t="n">
        <x:f>IF(V83&lt;&gt;"",V83,W83)</x:f>
        <x:v>82.25</x:v>
      </x:c>
      <x:c r="Y83" s="40" t="str">
        <x:f>IF(V83&lt;&gt;"","공식 70% 평균백분위",IF(W83&lt;&gt;"","파생 단순평균(참고)","비교불가"))</x:f>
        <x:v>파생 단순평균(참고)</x:v>
      </x:c>
      <x:c r="Z83" s="60" t="n">
        <x:f>'추천_테스트'!$B$8</x:f>
        <x:v>80</x:v>
      </x:c>
      <x:c r="AA83" s="60" t="n">
        <x:f>IF(X83="","",Z83-X83)</x:f>
        <x:v>-2.25</x:v>
      </x:c>
      <x:c r="AB83" s="40" t="str">
        <x:f>IF(X83="","",IF(AA83&gt;='추천_테스트'!$B$10,"안정",IF(AA83&gt;='추천_테스트'!$B$11,"적정",IF(AA83&gt;='추천_테스트'!$B$12,"소신","상향"))))</x:f>
        <x:v>상향</x:v>
      </x:c>
      <x:c r="AC83" s="62"/>
      <x:c r="AD83" s="62" t="n">
        <x:v>100</x:v>
      </x:c>
      <x:c r="AE83" s="62"/>
      <x:c r="AF83" s="41" t="str">
        <x:v>B: 공식 과목별 70% 백분위 → 단순평균 파생</x:v>
      </x:c>
      <x:c r="AG83" s="41" t="str">
        <x:v>https://www.adiga.kr/ucp/uvt/uni/univDetailSelection.do?menuId=PCUVTINF2000&amp;searchSyr=2026&amp;unvCd=0000169</x:v>
      </x:c>
    </x:row>
    <x:row r="84">
      <x:c r="A84" s="40" t="n">
        <x:v>2025</x:v>
      </x:c>
      <x:c r="B84" s="40" t="str">
        <x:v>인천광역시</x:v>
      </x:c>
      <x:c r="C84" s="40" t="str">
        <x:v>사립</x:v>
      </x:c>
      <x:c r="D84" s="40" t="str">
        <x:v>인하대학교</x:v>
      </x:c>
      <x:c r="E84" s="40" t="str">
        <x:v>가</x:v>
      </x:c>
      <x:c r="F84" s="40" t="str">
        <x:v>일반전형</x:v>
      </x:c>
      <x:c r="G84" s="41" t="str">
        <x:v>건축학부</x:v>
      </x:c>
      <x:c r="H84" s="40" t="n">
        <x:v>17</x:v>
      </x:c>
      <x:c r="I84" s="40" t="n">
        <x:v>1</x:v>
      </x:c>
      <x:c r="J84" s="40" t="n">
        <x:v>18</x:v>
      </x:c>
      <x:c r="K84" s="60" t="n">
        <x:v>4.8</x:v>
      </x:c>
      <x:c r="L84" s="40" t="n">
        <x:v>20</x:v>
      </x:c>
      <x:c r="M84" s="60" t="n">
        <x:v>890.8</x:v>
      </x:c>
      <x:c r="N84" s="60" t="n">
        <x:v>889.3</x:v>
      </x:c>
      <x:c r="O84" s="60" t="n">
        <x:v>1000</x:v>
      </x:c>
      <x:c r="P84" s="62" t="n">
        <x:v>79</x:v>
      </x:c>
      <x:c r="Q84" s="62" t="n">
        <x:v>85</x:v>
      </x:c>
      <x:c r="R84" s="62" t="n">
        <x:v>84</x:v>
      </x:c>
      <x:c r="S84" s="62" t="n">
        <x:v>88</x:v>
      </x:c>
      <x:c r="T84" s="62" t="n">
        <x:v>4</x:v>
      </x:c>
      <x:c r="U84" s="62" t="n">
        <x:v>2</x:v>
      </x:c>
      <x:c r="V84" s="60"/>
      <x:c r="W84" s="60" t="n">
        <x:f>IF(COUNT(P84:S84)&gt;=3,AVERAGE(P84:S84),"")</x:f>
        <x:v>84</x:v>
      </x:c>
      <x:c r="X84" s="60" t="n">
        <x:f>IF(V84&lt;&gt;"",V84,W84)</x:f>
        <x:v>84</x:v>
      </x:c>
      <x:c r="Y84" s="40" t="str">
        <x:f>IF(V84&lt;&gt;"","공식 70% 평균백분위",IF(W84&lt;&gt;"","파생 단순평균(참고)","비교불가"))</x:f>
        <x:v>파생 단순평균(참고)</x:v>
      </x:c>
      <x:c r="Z84" s="60" t="n">
        <x:f>'추천_테스트'!$B$8</x:f>
        <x:v>80</x:v>
      </x:c>
      <x:c r="AA84" s="60" t="n">
        <x:f>IF(X84="","",Z84-X84)</x:f>
        <x:v>-4</x:v>
      </x:c>
      <x:c r="AB84" s="40" t="str">
        <x:f>IF(X84="","",IF(AA84&gt;='추천_테스트'!$B$10,"안정",IF(AA84&gt;='추천_테스트'!$B$11,"적정",IF(AA84&gt;='추천_테스트'!$B$12,"소신","상향"))))</x:f>
        <x:v>상향</x:v>
      </x:c>
      <x:c r="AC84" s="62"/>
      <x:c r="AD84" s="62" t="n">
        <x:v>95</x:v>
      </x:c>
      <x:c r="AE84" s="62" t="n">
        <x:v>5</x:v>
      </x:c>
      <x:c r="AF84" s="41" t="str">
        <x:v>B: 공식 과목별 70% 백분위 → 단순평균 파생</x:v>
      </x:c>
      <x:c r="AG84" s="41" t="str">
        <x:v>https://www.adiga.kr/ucp/uvt/uni/univDetailSelection.do?menuId=PCUVTINF2000&amp;searchSyr=2026&amp;unvCd=0000169</x:v>
      </x:c>
    </x:row>
    <x:row r="85">
      <x:c r="A85" s="40" t="n">
        <x:v>2025</x:v>
      </x:c>
      <x:c r="B85" s="40" t="str">
        <x:v>인천광역시</x:v>
      </x:c>
      <x:c r="C85" s="40" t="str">
        <x:v>사립</x:v>
      </x:c>
      <x:c r="D85" s="40" t="str">
        <x:v>인하대학교</x:v>
      </x:c>
      <x:c r="E85" s="40" t="str">
        <x:v>가</x:v>
      </x:c>
      <x:c r="F85" s="40" t="str">
        <x:v>일반전형</x:v>
      </x:c>
      <x:c r="G85" s="41" t="str">
        <x:v>반도체시스템공학과</x:v>
      </x:c>
      <x:c r="H85" s="40" t="n">
        <x:v>32</x:v>
      </x:c>
      <x:c r="I85" s="40" t="n">
        <x:v>1</x:v>
      </x:c>
      <x:c r="J85" s="40" t="n">
        <x:v>33</x:v>
      </x:c>
      <x:c r="K85" s="60" t="n">
        <x:v>4.7</x:v>
      </x:c>
      <x:c r="L85" s="40" t="n">
        <x:v>22</x:v>
      </x:c>
      <x:c r="M85" s="60" t="n">
        <x:v>906.3</x:v>
      </x:c>
      <x:c r="N85" s="60" t="n">
        <x:v>904.6</x:v>
      </x:c>
      <x:c r="O85" s="60" t="n">
        <x:v>1000</x:v>
      </x:c>
      <x:c r="P85" s="62" t="n">
        <x:v>86</x:v>
      </x:c>
      <x:c r="Q85" s="62" t="n">
        <x:v>81</x:v>
      </x:c>
      <x:c r="R85" s="62" t="n">
        <x:v>98</x:v>
      </x:c>
      <x:c r="S85" s="62" t="n">
        <x:v>77</x:v>
      </x:c>
      <x:c r="T85" s="62" t="n">
        <x:v>3</x:v>
      </x:c>
      <x:c r="U85" s="62" t="n">
        <x:v>1</x:v>
      </x:c>
      <x:c r="V85" s="60"/>
      <x:c r="W85" s="60" t="n">
        <x:f>IF(COUNT(P85:S85)&gt;=3,AVERAGE(P85:S85),"")</x:f>
        <x:v>85.5</x:v>
      </x:c>
      <x:c r="X85" s="60" t="n">
        <x:f>IF(V85&lt;&gt;"",V85,W85)</x:f>
        <x:v>85.5</x:v>
      </x:c>
      <x:c r="Y85" s="40" t="str">
        <x:f>IF(V85&lt;&gt;"","공식 70% 평균백분위",IF(W85&lt;&gt;"","파생 단순평균(참고)","비교불가"))</x:f>
        <x:v>파생 단순평균(참고)</x:v>
      </x:c>
      <x:c r="Z85" s="60" t="n">
        <x:f>'추천_테스트'!$B$8</x:f>
        <x:v>80</x:v>
      </x:c>
      <x:c r="AA85" s="60" t="n">
        <x:f>IF(X85="","",Z85-X85)</x:f>
        <x:v>-5.5</x:v>
      </x:c>
      <x:c r="AB85" s="40" t="str">
        <x:f>IF(X85="","",IF(AA85&gt;='추천_테스트'!$B$10,"안정",IF(AA85&gt;='추천_테스트'!$B$11,"적정",IF(AA85&gt;='추천_테스트'!$B$12,"소신","상향"))))</x:f>
        <x:v>상향</x:v>
      </x:c>
      <x:c r="AC85" s="62" t="n">
        <x:v>3</x:v>
      </x:c>
      <x:c r="AD85" s="62" t="n">
        <x:v>91</x:v>
      </x:c>
      <x:c r="AE85" s="62" t="n">
        <x:v>6</x:v>
      </x:c>
      <x:c r="AF85" s="41" t="str">
        <x:v>B: 공식 과목별 70% 백분위 → 단순평균 파생</x:v>
      </x:c>
      <x:c r="AG85" s="41" t="str">
        <x:v>https://www.adiga.kr/ucp/uvt/uni/univDetailSelection.do?menuId=PCUVTINF2000&amp;searchSyr=2026&amp;unvCd=0000169</x:v>
      </x:c>
    </x:row>
    <x:row r="86">
      <x:c r="A86" s="40" t="n">
        <x:v>2025</x:v>
      </x:c>
      <x:c r="B86" s="40" t="str">
        <x:v>인천광역시</x:v>
      </x:c>
      <x:c r="C86" s="40" t="str">
        <x:v>사립</x:v>
      </x:c>
      <x:c r="D86" s="40" t="str">
        <x:v>인하대학교</x:v>
      </x:c>
      <x:c r="E86" s="40" t="str">
        <x:v>가</x:v>
      </x:c>
      <x:c r="F86" s="40" t="str">
        <x:v>일반전형</x:v>
      </x:c>
      <x:c r="G86" s="41" t="str">
        <x:v>수학과</x:v>
      </x:c>
      <x:c r="H86" s="40" t="n">
        <x:v>2</x:v>
      </x:c>
      <x:c r="I86" s="40" t="n">
        <x:v>0</x:v>
      </x:c>
      <x:c r="J86" s="40" t="n">
        <x:v>2</x:v>
      </x:c>
      <x:c r="K86" s="60" t="n">
        <x:v>11</x:v>
      </x:c>
      <x:c r="L86" s="40"/>
      <x:c r="M86" s="60" t="n">
        <x:v>895.9</x:v>
      </x:c>
      <x:c r="N86" s="60" t="n">
        <x:v>895.9</x:v>
      </x:c>
      <x:c r="O86" s="60" t="n">
        <x:v>1000</x:v>
      </x:c>
      <x:c r="P86" s="62" t="n">
        <x:v>86</x:v>
      </x:c>
      <x:c r="Q86" s="62" t="n">
        <x:v>92</x:v>
      </x:c>
      <x:c r="R86" s="62" t="n">
        <x:v>56</x:v>
      </x:c>
      <x:c r="S86" s="62" t="n">
        <x:v>90</x:v>
      </x:c>
      <x:c r="T86" s="62" t="n">
        <x:v>2</x:v>
      </x:c>
      <x:c r="U86" s="62" t="n">
        <x:v>3</x:v>
      </x:c>
      <x:c r="V86" s="60"/>
      <x:c r="W86" s="60" t="n">
        <x:f>IF(COUNT(P86:S86)&gt;=3,AVERAGE(P86:S86),"")</x:f>
        <x:v>81</x:v>
      </x:c>
      <x:c r="X86" s="60" t="n">
        <x:f>IF(V86&lt;&gt;"",V86,W86)</x:f>
        <x:v>81</x:v>
      </x:c>
      <x:c r="Y86" s="40" t="str">
        <x:f>IF(V86&lt;&gt;"","공식 70% 평균백분위",IF(W86&lt;&gt;"","파생 단순평균(참고)","비교불가"))</x:f>
        <x:v>파생 단순평균(참고)</x:v>
      </x:c>
      <x:c r="Z86" s="60" t="n">
        <x:f>'추천_테스트'!$B$8</x:f>
        <x:v>80</x:v>
      </x:c>
      <x:c r="AA86" s="60" t="n">
        <x:f>IF(X86="","",Z86-X86)</x:f>
        <x:v>-1</x:v>
      </x:c>
      <x:c r="AB86" s="40" t="str">
        <x:f>IF(X86="","",IF(AA86&gt;='추천_테스트'!$B$10,"안정",IF(AA86&gt;='추천_테스트'!$B$11,"적정",IF(AA86&gt;='추천_테스트'!$B$12,"소신","상향"))))</x:f>
        <x:v>소신</x:v>
      </x:c>
      <x:c r="AC86" s="62"/>
      <x:c r="AD86" s="62" t="n">
        <x:v>100</x:v>
      </x:c>
      <x:c r="AE86" s="62"/>
      <x:c r="AF86" s="41" t="str">
        <x:v>B: 공식 과목별 70% 백분위 → 단순평균 파생</x:v>
      </x:c>
      <x:c r="AG86" s="41" t="str">
        <x:v>https://www.adiga.kr/ucp/uvt/uni/univDetailSelection.do?menuId=PCUVTINF2000&amp;searchSyr=2026&amp;unvCd=0000169</x:v>
      </x:c>
    </x:row>
    <x:row r="87">
      <x:c r="A87" s="40" t="n">
        <x:v>2025</x:v>
      </x:c>
      <x:c r="B87" s="40" t="str">
        <x:v>인천광역시</x:v>
      </x:c>
      <x:c r="C87" s="40" t="str">
        <x:v>사립</x:v>
      </x:c>
      <x:c r="D87" s="40" t="str">
        <x:v>인하대학교</x:v>
      </x:c>
      <x:c r="E87" s="40" t="str">
        <x:v>가</x:v>
      </x:c>
      <x:c r="F87" s="40" t="str">
        <x:v>일반전형</x:v>
      </x:c>
      <x:c r="G87" s="41" t="str">
        <x:v>화학과</x:v>
      </x:c>
      <x:c r="H87" s="40" t="n">
        <x:v>5</x:v>
      </x:c>
      <x:c r="I87" s="40" t="n">
        <x:v>0</x:v>
      </x:c>
      <x:c r="J87" s="40" t="n">
        <x:v>5</x:v>
      </x:c>
      <x:c r="K87" s="60" t="n">
        <x:v>10.8</x:v>
      </x:c>
      <x:c r="L87" s="40" t="n">
        <x:v>5</x:v>
      </x:c>
      <x:c r="M87" s="60" t="n">
        <x:v>889.8</x:v>
      </x:c>
      <x:c r="N87" s="60" t="n">
        <x:v>889.4</x:v>
      </x:c>
      <x:c r="O87" s="60" t="n">
        <x:v>1000</x:v>
      </x:c>
      <x:c r="P87" s="62" t="n">
        <x:v>97</x:v>
      </x:c>
      <x:c r="Q87" s="62" t="n">
        <x:v>74</x:v>
      </x:c>
      <x:c r="R87" s="62" t="n">
        <x:v>66</x:v>
      </x:c>
      <x:c r="S87" s="62" t="n">
        <x:v>83</x:v>
      </x:c>
      <x:c r="T87" s="62" t="n">
        <x:v>3</x:v>
      </x:c>
      <x:c r="U87" s="62" t="n">
        <x:v>1</x:v>
      </x:c>
      <x:c r="V87" s="60"/>
      <x:c r="W87" s="60" t="n">
        <x:f>IF(COUNT(P87:S87)&gt;=3,AVERAGE(P87:S87),"")</x:f>
        <x:v>80</x:v>
      </x:c>
      <x:c r="X87" s="60" t="n">
        <x:f>IF(V87&lt;&gt;"",V87,W87)</x:f>
        <x:v>80</x:v>
      </x:c>
      <x:c r="Y87" s="40" t="str">
        <x:f>IF(V87&lt;&gt;"","공식 70% 평균백분위",IF(W87&lt;&gt;"","파생 단순평균(참고)","비교불가"))</x:f>
        <x:v>파생 단순평균(참고)</x:v>
      </x:c>
      <x:c r="Z87" s="60" t="n">
        <x:f>'추천_테스트'!$B$8</x:f>
        <x:v>80</x:v>
      </x:c>
      <x:c r="AA87" s="60" t="n">
        <x:f>IF(X87="","",Z87-X87)</x:f>
        <x:v>0</x:v>
      </x:c>
      <x:c r="AB87" s="40" t="str">
        <x:f>IF(X87="","",IF(AA87&gt;='추천_테스트'!$B$10,"안정",IF(AA87&gt;='추천_테스트'!$B$11,"적정",IF(AA87&gt;='추천_테스트'!$B$12,"소신","상향"))))</x:f>
        <x:v>소신</x:v>
      </x:c>
      <x:c r="AC87" s="62"/>
      <x:c r="AD87" s="62" t="n">
        <x:v>83</x:v>
      </x:c>
      <x:c r="AE87" s="62" t="n">
        <x:v>17</x:v>
      </x:c>
      <x:c r="AF87" s="41" t="str">
        <x:v>B: 공식 과목별 70% 백분위 → 단순평균 파생</x:v>
      </x:c>
      <x:c r="AG87" s="41" t="str">
        <x:v>https://www.adiga.kr/ucp/uvt/uni/univDetailSelection.do?menuId=PCUVTINF2000&amp;searchSyr=2026&amp;unvCd=0000169</x:v>
      </x:c>
    </x:row>
    <x:row r="88">
      <x:c r="A88" s="40" t="n">
        <x:v>2025</x:v>
      </x:c>
      <x:c r="B88" s="40" t="str">
        <x:v>인천광역시</x:v>
      </x:c>
      <x:c r="C88" s="40" t="str">
        <x:v>사립</x:v>
      </x:c>
      <x:c r="D88" s="40" t="str">
        <x:v>인하대학교</x:v>
      </x:c>
      <x:c r="E88" s="40" t="str">
        <x:v>가</x:v>
      </x:c>
      <x:c r="F88" s="40" t="str">
        <x:v>일반전형</x:v>
      </x:c>
      <x:c r="G88" s="41" t="str">
        <x:v>경영학과</x:v>
      </x:c>
      <x:c r="H88" s="40" t="n">
        <x:v>13</x:v>
      </x:c>
      <x:c r="I88" s="40" t="n">
        <x:v>0</x:v>
      </x:c>
      <x:c r="J88" s="40" t="n">
        <x:v>13</x:v>
      </x:c>
      <x:c r="K88" s="60" t="n">
        <x:v>6.2</x:v>
      </x:c>
      <x:c r="L88" s="40" t="n">
        <x:v>12</x:v>
      </x:c>
      <x:c r="M88" s="60" t="n">
        <x:v>884.1</x:v>
      </x:c>
      <x:c r="N88" s="60" t="n">
        <x:v>883.8</x:v>
      </x:c>
      <x:c r="O88" s="60" t="n">
        <x:v>1000</x:v>
      </x:c>
      <x:c r="P88" s="62" t="n">
        <x:v>89</x:v>
      </x:c>
      <x:c r="Q88" s="62" t="n">
        <x:v>78</x:v>
      </x:c>
      <x:c r="R88" s="62" t="n">
        <x:v>72</x:v>
      </x:c>
      <x:c r="S88" s="62" t="n">
        <x:v>85</x:v>
      </x:c>
      <x:c r="T88" s="62" t="n">
        <x:v>3</x:v>
      </x:c>
      <x:c r="U88" s="62" t="n">
        <x:v>1</x:v>
      </x:c>
      <x:c r="V88" s="60"/>
      <x:c r="W88" s="60" t="n">
        <x:f>IF(COUNT(P88:S88)&gt;=3,AVERAGE(P88:S88),"")</x:f>
        <x:v>81</x:v>
      </x:c>
      <x:c r="X88" s="60" t="n">
        <x:f>IF(V88&lt;&gt;"",V88,W88)</x:f>
        <x:v>81</x:v>
      </x:c>
      <x:c r="Y88" s="40" t="str">
        <x:f>IF(V88&lt;&gt;"","공식 70% 평균백분위",IF(W88&lt;&gt;"","파생 단순평균(참고)","비교불가"))</x:f>
        <x:v>파생 단순평균(참고)</x:v>
      </x:c>
      <x:c r="Z88" s="60" t="n">
        <x:f>'추천_테스트'!$B$8</x:f>
        <x:v>80</x:v>
      </x:c>
      <x:c r="AA88" s="60" t="n">
        <x:f>IF(X88="","",Z88-X88)</x:f>
        <x:v>-1</x:v>
      </x:c>
      <x:c r="AB88" s="40" t="str">
        <x:f>IF(X88="","",IF(AA88&gt;='추천_테스트'!$B$10,"안정",IF(AA88&gt;='추천_테스트'!$B$11,"적정",IF(AA88&gt;='추천_테스트'!$B$12,"소신","상향"))))</x:f>
        <x:v>소신</x:v>
      </x:c>
      <x:c r="AC88" s="62" t="n">
        <x:v>50</x:v>
      </x:c>
      <x:c r="AD88" s="62" t="n">
        <x:v>50</x:v>
      </x:c>
      <x:c r="AE88" s="62"/>
      <x:c r="AF88" s="41" t="str">
        <x:v>B: 공식 과목별 70% 백분위 → 단순평균 파생</x:v>
      </x:c>
      <x:c r="AG88" s="41" t="str">
        <x:v>https://www.adiga.kr/ucp/uvt/uni/univDetailSelection.do?menuId=PCUVTINF2000&amp;searchSyr=2026&amp;unvCd=0000169</x:v>
      </x:c>
    </x:row>
    <x:row r="89">
      <x:c r="A89" s="40" t="n">
        <x:v>2025</x:v>
      </x:c>
      <x:c r="B89" s="40" t="str">
        <x:v>인천광역시</x:v>
      </x:c>
      <x:c r="C89" s="40" t="str">
        <x:v>사립</x:v>
      </x:c>
      <x:c r="D89" s="40" t="str">
        <x:v>인하대학교</x:v>
      </x:c>
      <x:c r="E89" s="40" t="str">
        <x:v>가</x:v>
      </x:c>
      <x:c r="F89" s="40" t="str">
        <x:v>일반전형</x:v>
      </x:c>
      <x:c r="G89" s="41" t="str">
        <x:v>국어교육과</x:v>
      </x:c>
      <x:c r="H89" s="40" t="n">
        <x:v>8</x:v>
      </x:c>
      <x:c r="I89" s="40" t="n">
        <x:v>0</x:v>
      </x:c>
      <x:c r="J89" s="40" t="n">
        <x:v>8</x:v>
      </x:c>
      <x:c r="K89" s="60" t="n">
        <x:v>5.9</x:v>
      </x:c>
      <x:c r="L89" s="40" t="n">
        <x:v>12</x:v>
      </x:c>
      <x:c r="M89" s="60" t="n">
        <x:v>888.9</x:v>
      </x:c>
      <x:c r="N89" s="60" t="n">
        <x:v>884.3</x:v>
      </x:c>
      <x:c r="O89" s="60" t="n">
        <x:v>1000</x:v>
      </x:c>
      <x:c r="P89" s="62" t="n">
        <x:v>82</x:v>
      </x:c>
      <x:c r="Q89" s="62" t="n">
        <x:v>59</x:v>
      </x:c>
      <x:c r="R89" s="62" t="n">
        <x:v>96</x:v>
      </x:c>
      <x:c r="S89" s="62" t="n">
        <x:v>98</x:v>
      </x:c>
      <x:c r="T89" s="62" t="n">
        <x:v>3</x:v>
      </x:c>
      <x:c r="U89" s="62" t="n">
        <x:v>1</x:v>
      </x:c>
      <x:c r="V89" s="60"/>
      <x:c r="W89" s="60" t="n">
        <x:f>IF(COUNT(P89:S89)&gt;=3,AVERAGE(P89:S89),"")</x:f>
        <x:v>83.75</x:v>
      </x:c>
      <x:c r="X89" s="60" t="n">
        <x:f>IF(V89&lt;&gt;"",V89,W89)</x:f>
        <x:v>83.75</x:v>
      </x:c>
      <x:c r="Y89" s="40" t="str">
        <x:f>IF(V89&lt;&gt;"","공식 70% 평균백분위",IF(W89&lt;&gt;"","파생 단순평균(참고)","비교불가"))</x:f>
        <x:v>파생 단순평균(참고)</x:v>
      </x:c>
      <x:c r="Z89" s="60" t="n">
        <x:f>'추천_테스트'!$B$8</x:f>
        <x:v>80</x:v>
      </x:c>
      <x:c r="AA89" s="60" t="n">
        <x:f>IF(X89="","",Z89-X89)</x:f>
        <x:v>-3.75</x:v>
      </x:c>
      <x:c r="AB89" s="40" t="str">
        <x:f>IF(X89="","",IF(AA89&gt;='추천_테스트'!$B$10,"안정",IF(AA89&gt;='추천_테스트'!$B$11,"적정",IF(AA89&gt;='추천_테스트'!$B$12,"소신","상향"))))</x:f>
        <x:v>상향</x:v>
      </x:c>
      <x:c r="AC89" s="62" t="n">
        <x:v>63</x:v>
      </x:c>
      <x:c r="AD89" s="62" t="n">
        <x:v>38</x:v>
      </x:c>
      <x:c r="AE89" s="62"/>
      <x:c r="AF89" s="41" t="str">
        <x:v>B: 공식 과목별 70% 백분위 → 단순평균 파생</x:v>
      </x:c>
      <x:c r="AG89" s="41" t="str">
        <x:v>https://www.adiga.kr/ucp/uvt/uni/univDetailSelection.do?menuId=PCUVTINF2000&amp;searchSyr=2026&amp;unvCd=0000169</x:v>
      </x:c>
    </x:row>
    <x:row r="90">
      <x:c r="A90" s="40" t="n">
        <x:v>2025</x:v>
      </x:c>
      <x:c r="B90" s="40" t="str">
        <x:v>인천광역시</x:v>
      </x:c>
      <x:c r="C90" s="40" t="str">
        <x:v>사립</x:v>
      </x:c>
      <x:c r="D90" s="40" t="str">
        <x:v>인하대학교</x:v>
      </x:c>
      <x:c r="E90" s="40" t="str">
        <x:v>가</x:v>
      </x:c>
      <x:c r="F90" s="40" t="str">
        <x:v>일반전형</x:v>
      </x:c>
      <x:c r="G90" s="41" t="str">
        <x:v>교육학과</x:v>
      </x:c>
      <x:c r="H90" s="40" t="n">
        <x:v>13</x:v>
      </x:c>
      <x:c r="I90" s="40" t="n">
        <x:v>0</x:v>
      </x:c>
      <x:c r="J90" s="40" t="n">
        <x:v>13</x:v>
      </x:c>
      <x:c r="K90" s="60" t="n">
        <x:v>5.8</x:v>
      </x:c>
      <x:c r="L90" s="40" t="n">
        <x:v>9</x:v>
      </x:c>
      <x:c r="M90" s="60" t="n">
        <x:v>882.3</x:v>
      </x:c>
      <x:c r="N90" s="60" t="n">
        <x:v>881.2</x:v>
      </x:c>
      <x:c r="O90" s="60" t="n">
        <x:v>1000</x:v>
      </x:c>
      <x:c r="P90" s="62" t="n">
        <x:v>82</x:v>
      </x:c>
      <x:c r="Q90" s="62" t="n">
        <x:v>76</x:v>
      </x:c>
      <x:c r="R90" s="62" t="n">
        <x:v>93</x:v>
      </x:c>
      <x:c r="S90" s="62" t="n">
        <x:v>82</x:v>
      </x:c>
      <x:c r="T90" s="62" t="n">
        <x:v>3</x:v>
      </x:c>
      <x:c r="U90" s="62" t="n">
        <x:v>3</x:v>
      </x:c>
      <x:c r="V90" s="60"/>
      <x:c r="W90" s="60" t="n">
        <x:f>IF(COUNT(P90:S90)&gt;=3,AVERAGE(P90:S90),"")</x:f>
        <x:v>83.25</x:v>
      </x:c>
      <x:c r="X90" s="60" t="n">
        <x:f>IF(V90&lt;&gt;"",V90,W90)</x:f>
        <x:v>83.25</x:v>
      </x:c>
      <x:c r="Y90" s="40" t="str">
        <x:f>IF(V90&lt;&gt;"","공식 70% 평균백분위",IF(W90&lt;&gt;"","파생 단순평균(참고)","비교불가"))</x:f>
        <x:v>파생 단순평균(참고)</x:v>
      </x:c>
      <x:c r="Z90" s="60" t="n">
        <x:f>'추천_테스트'!$B$8</x:f>
        <x:v>80</x:v>
      </x:c>
      <x:c r="AA90" s="60" t="n">
        <x:f>IF(X90="","",Z90-X90)</x:f>
        <x:v>-3.25</x:v>
      </x:c>
      <x:c r="AB90" s="40" t="str">
        <x:f>IF(X90="","",IF(AA90&gt;='추천_테스트'!$B$10,"안정",IF(AA90&gt;='추천_테스트'!$B$11,"적정",IF(AA90&gt;='추천_테스트'!$B$12,"소신","상향"))))</x:f>
        <x:v>상향</x:v>
      </x:c>
      <x:c r="AC90" s="62" t="n">
        <x:v>31</x:v>
      </x:c>
      <x:c r="AD90" s="62" t="n">
        <x:v>69</x:v>
      </x:c>
      <x:c r="AE90" s="62"/>
      <x:c r="AF90" s="41" t="str">
        <x:v>B: 공식 과목별 70% 백분위 → 단순평균 파생</x:v>
      </x:c>
      <x:c r="AG90" s="41" t="str">
        <x:v>https://www.adiga.kr/ucp/uvt/uni/univDetailSelection.do?menuId=PCUVTINF2000&amp;searchSyr=2026&amp;unvCd=0000169</x:v>
      </x:c>
    </x:row>
    <x:row r="91">
      <x:c r="A91" s="40" t="n">
        <x:v>2025</x:v>
      </x:c>
      <x:c r="B91" s="40" t="str">
        <x:v>인천광역시</x:v>
      </x:c>
      <x:c r="C91" s="40" t="str">
        <x:v>사립</x:v>
      </x:c>
      <x:c r="D91" s="40" t="str">
        <x:v>인하대학교</x:v>
      </x:c>
      <x:c r="E91" s="40" t="str">
        <x:v>가</x:v>
      </x:c>
      <x:c r="F91" s="40" t="str">
        <x:v>일반전형</x:v>
      </x:c>
      <x:c r="G91" s="41" t="str">
        <x:v>미디어커뮤니케이션학과</x:v>
      </x:c>
      <x:c r="H91" s="40" t="n">
        <x:v>2</x:v>
      </x:c>
      <x:c r="I91" s="40" t="n">
        <x:v>0</x:v>
      </x:c>
      <x:c r="J91" s="40" t="n">
        <x:v>2</x:v>
      </x:c>
      <x:c r="K91" s="60" t="n">
        <x:v>11.5</x:v>
      </x:c>
      <x:c r="L91" s="40"/>
      <x:c r="M91" s="60" t="n">
        <x:v>891.2</x:v>
      </x:c>
      <x:c r="N91" s="60" t="n">
        <x:v>891.2</x:v>
      </x:c>
      <x:c r="O91" s="60" t="n">
        <x:v>1000</x:v>
      </x:c>
      <x:c r="P91" s="62" t="n">
        <x:v>77</x:v>
      </x:c>
      <x:c r="Q91" s="62" t="n">
        <x:v>90</x:v>
      </x:c>
      <x:c r="R91" s="62" t="n">
        <x:v>90</x:v>
      </x:c>
      <x:c r="S91" s="62" t="n">
        <x:v>93</x:v>
      </x:c>
      <x:c r="T91" s="62" t="n">
        <x:v>3</x:v>
      </x:c>
      <x:c r="U91" s="62" t="n">
        <x:v>1</x:v>
      </x:c>
      <x:c r="V91" s="60"/>
      <x:c r="W91" s="60" t="n">
        <x:f>IF(COUNT(P91:S91)&gt;=3,AVERAGE(P91:S91),"")</x:f>
        <x:v>87.5</x:v>
      </x:c>
      <x:c r="X91" s="60" t="n">
        <x:f>IF(V91&lt;&gt;"",V91,W91)</x:f>
        <x:v>87.5</x:v>
      </x:c>
      <x:c r="Y91" s="40" t="str">
        <x:f>IF(V91&lt;&gt;"","공식 70% 평균백분위",IF(W91&lt;&gt;"","파생 단순평균(참고)","비교불가"))</x:f>
        <x:v>파생 단순평균(참고)</x:v>
      </x:c>
      <x:c r="Z91" s="60" t="n">
        <x:f>'추천_테스트'!$B$8</x:f>
        <x:v>80</x:v>
      </x:c>
      <x:c r="AA91" s="60" t="n">
        <x:f>IF(X91="","",Z91-X91)</x:f>
        <x:v>-7.5</x:v>
      </x:c>
      <x:c r="AB91" s="40" t="str">
        <x:f>IF(X91="","",IF(AA91&gt;='추천_테스트'!$B$10,"안정",IF(AA91&gt;='추천_테스트'!$B$11,"적정",IF(AA91&gt;='추천_테스트'!$B$12,"소신","상향"))))</x:f>
        <x:v>상향</x:v>
      </x:c>
      <x:c r="AC91" s="62" t="n">
        <x:v>100</x:v>
      </x:c>
      <x:c r="AD91" s="62"/>
      <x:c r="AE91" s="62"/>
      <x:c r="AF91" s="41" t="str">
        <x:v>B: 공식 과목별 70% 백분위 → 단순평균 파생</x:v>
      </x:c>
      <x:c r="AG91" s="41" t="str">
        <x:v>https://www.adiga.kr/ucp/uvt/uni/univDetailSelection.do?menuId=PCUVTINF2000&amp;searchSyr=2026&amp;unvCd=0000169</x:v>
      </x:c>
    </x:row>
    <x:row r="92">
      <x:c r="A92" s="40" t="n">
        <x:v>2025</x:v>
      </x:c>
      <x:c r="B92" s="40" t="str">
        <x:v>인천광역시</x:v>
      </x:c>
      <x:c r="C92" s="40" t="str">
        <x:v>사립</x:v>
      </x:c>
      <x:c r="D92" s="40" t="str">
        <x:v>인하대학교</x:v>
      </x:c>
      <x:c r="E92" s="40" t="str">
        <x:v>가</x:v>
      </x:c>
      <x:c r="F92" s="40" t="str">
        <x:v>일반전형</x:v>
      </x:c>
      <x:c r="G92" s="41" t="str">
        <x:v>사회복지학과</x:v>
      </x:c>
      <x:c r="H92" s="40" t="n">
        <x:v>3</x:v>
      </x:c>
      <x:c r="I92" s="40" t="n">
        <x:v>0</x:v>
      </x:c>
      <x:c r="J92" s="40" t="n">
        <x:v>3</x:v>
      </x:c>
      <x:c r="K92" s="60" t="n">
        <x:v>7.3</x:v>
      </x:c>
      <x:c r="L92" s="40" t="n">
        <x:v>6</x:v>
      </x:c>
      <x:c r="M92" s="60" t="n">
        <x:v>878.6</x:v>
      </x:c>
      <x:c r="N92" s="60" t="n">
        <x:v>878.6</x:v>
      </x:c>
      <x:c r="O92" s="60" t="n">
        <x:v>1000</x:v>
      </x:c>
      <x:c r="P92" s="62" t="n">
        <x:v>86</x:v>
      </x:c>
      <x:c r="Q92" s="62" t="n">
        <x:v>66</x:v>
      </x:c>
      <x:c r="R92" s="62" t="n">
        <x:v>88</x:v>
      </x:c>
      <x:c r="S92" s="62" t="n">
        <x:v>78</x:v>
      </x:c>
      <x:c r="T92" s="62" t="n">
        <x:v>2</x:v>
      </x:c>
      <x:c r="U92" s="62" t="n">
        <x:v>4</x:v>
      </x:c>
      <x:c r="V92" s="60"/>
      <x:c r="W92" s="60" t="n">
        <x:f>IF(COUNT(P92:S92)&gt;=3,AVERAGE(P92:S92),"")</x:f>
        <x:v>79.5</x:v>
      </x:c>
      <x:c r="X92" s="60" t="n">
        <x:f>IF(V92&lt;&gt;"",V92,W92)</x:f>
        <x:v>79.5</x:v>
      </x:c>
      <x:c r="Y92" s="40" t="str">
        <x:f>IF(V92&lt;&gt;"","공식 70% 평균백분위",IF(W92&lt;&gt;"","파생 단순평균(참고)","비교불가"))</x:f>
        <x:v>파생 단순평균(참고)</x:v>
      </x:c>
      <x:c r="Z92" s="60" t="n">
        <x:f>'추천_테스트'!$B$8</x:f>
        <x:v>80</x:v>
      </x:c>
      <x:c r="AA92" s="60" t="n">
        <x:f>IF(X92="","",Z92-X92)</x:f>
        <x:v>0.5</x:v>
      </x:c>
      <x:c r="AB92" s="40" t="str">
        <x:f>IF(X92="","",IF(AA92&gt;='추천_테스트'!$B$10,"안정",IF(AA92&gt;='추천_테스트'!$B$11,"적정",IF(AA92&gt;='추천_테스트'!$B$12,"소신","상향"))))</x:f>
        <x:v>소신</x:v>
      </x:c>
      <x:c r="AC92" s="62" t="n">
        <x:v>60</x:v>
      </x:c>
      <x:c r="AD92" s="62" t="n">
        <x:v>40</x:v>
      </x:c>
      <x:c r="AE92" s="62"/>
      <x:c r="AF92" s="41" t="str">
        <x:v>B: 공식 과목별 70% 백분위 → 단순평균 파생</x:v>
      </x:c>
      <x:c r="AG92" s="41" t="str">
        <x:v>https://www.adiga.kr/ucp/uvt/uni/univDetailSelection.do?menuId=PCUVTINF2000&amp;searchSyr=2026&amp;unvCd=0000169</x:v>
      </x:c>
    </x:row>
    <x:row r="93">
      <x:c r="A93" s="40" t="n">
        <x:v>2025</x:v>
      </x:c>
      <x:c r="B93" s="40" t="str">
        <x:v>인천광역시</x:v>
      </x:c>
      <x:c r="C93" s="40" t="str">
        <x:v>사립</x:v>
      </x:c>
      <x:c r="D93" s="40" t="str">
        <x:v>인하대학교</x:v>
      </x:c>
      <x:c r="E93" s="40" t="str">
        <x:v>가</x:v>
      </x:c>
      <x:c r="F93" s="40" t="str">
        <x:v>일반전형</x:v>
      </x:c>
      <x:c r="G93" s="41" t="str">
        <x:v>사학과</x:v>
      </x:c>
      <x:c r="H93" s="40" t="n">
        <x:v>4</x:v>
      </x:c>
      <x:c r="I93" s="40" t="n">
        <x:v>0</x:v>
      </x:c>
      <x:c r="J93" s="40" t="n">
        <x:v>4</x:v>
      </x:c>
      <x:c r="K93" s="60" t="n">
        <x:v>10.3</x:v>
      </x:c>
      <x:c r="L93" s="40" t="n">
        <x:v>2</x:v>
      </x:c>
      <x:c r="M93" s="60" t="n">
        <x:v>887.5</x:v>
      </x:c>
      <x:c r="N93" s="60" t="n">
        <x:v>887.5</x:v>
      </x:c>
      <x:c r="O93" s="60" t="n">
        <x:v>1000</x:v>
      </x:c>
      <x:c r="P93" s="62" t="n">
        <x:v>96</x:v>
      </x:c>
      <x:c r="Q93" s="62" t="n">
        <x:v>56</x:v>
      </x:c>
      <x:c r="R93" s="62" t="n">
        <x:v>83</x:v>
      </x:c>
      <x:c r="S93" s="62" t="n">
        <x:v>84</x:v>
      </x:c>
      <x:c r="T93" s="62" t="n">
        <x:v>3</x:v>
      </x:c>
      <x:c r="U93" s="62" t="n">
        <x:v>1</x:v>
      </x:c>
      <x:c r="V93" s="60"/>
      <x:c r="W93" s="60" t="n">
        <x:f>IF(COUNT(P93:S93)&gt;=3,AVERAGE(P93:S93),"")</x:f>
        <x:v>79.75</x:v>
      </x:c>
      <x:c r="X93" s="60" t="n">
        <x:f>IF(V93&lt;&gt;"",V93,W93)</x:f>
        <x:v>79.75</x:v>
      </x:c>
      <x:c r="Y93" s="40" t="str">
        <x:f>IF(V93&lt;&gt;"","공식 70% 평균백분위",IF(W93&lt;&gt;"","파생 단순평균(참고)","비교불가"))</x:f>
        <x:v>파생 단순평균(참고)</x:v>
      </x:c>
      <x:c r="Z93" s="60" t="n">
        <x:f>'추천_테스트'!$B$8</x:f>
        <x:v>80</x:v>
      </x:c>
      <x:c r="AA93" s="60" t="n">
        <x:f>IF(X93="","",Z93-X93)</x:f>
        <x:v>0.25</x:v>
      </x:c>
      <x:c r="AB93" s="40" t="str">
        <x:f>IF(X93="","",IF(AA93&gt;='추천_테스트'!$B$10,"안정",IF(AA93&gt;='추천_테스트'!$B$11,"적정",IF(AA93&gt;='추천_테스트'!$B$12,"소신","상향"))))</x:f>
        <x:v>소신</x:v>
      </x:c>
      <x:c r="AC93" s="62" t="n">
        <x:v>75</x:v>
      </x:c>
      <x:c r="AD93" s="62"/>
      <x:c r="AE93" s="62" t="n">
        <x:v>25</x:v>
      </x:c>
      <x:c r="AF93" s="41" t="str">
        <x:v>B: 공식 과목별 70% 백분위 → 단순평균 파생</x:v>
      </x:c>
      <x:c r="AG93" s="41" t="str">
        <x:v>https://www.adiga.kr/ucp/uvt/uni/univDetailSelection.do?menuId=PCUVTINF2000&amp;searchSyr=2026&amp;unvCd=0000169</x:v>
      </x:c>
    </x:row>
    <x:row r="94">
      <x:c r="A94" s="40" t="n">
        <x:v>2025</x:v>
      </x:c>
      <x:c r="B94" s="40" t="str">
        <x:v>부산광역시</x:v>
      </x:c>
      <x:c r="C94" s="40" t="str">
        <x:v>국립</x:v>
      </x:c>
      <x:c r="D94" s="40" t="str">
        <x:v>부산대학교</x:v>
      </x:c>
      <x:c r="E94" s="40" t="str">
        <x:v>가</x:v>
      </x:c>
      <x:c r="F94" s="40" t="str">
        <x:v>일반전형</x:v>
      </x:c>
      <x:c r="G94" s="41" t="str">
        <x:v>중어중문학과</x:v>
      </x:c>
      <x:c r="H94" s="40" t="n">
        <x:v>9</x:v>
      </x:c>
      <x:c r="I94" s="40" t="n">
        <x:v>4</x:v>
      </x:c>
      <x:c r="J94" s="40" t="n">
        <x:v>13</x:v>
      </x:c>
      <x:c r="K94" s="60" t="n">
        <x:v>4</x:v>
      </x:c>
      <x:c r="L94" s="40" t="n">
        <x:v>6</x:v>
      </x:c>
      <x:c r="M94" s="60" t="n">
        <x:v>683</x:v>
      </x:c>
      <x:c r="N94" s="60" t="n">
        <x:v>681.75</x:v>
      </x:c>
      <x:c r="O94" s="60" t="n">
        <x:v>1000</x:v>
      </x:c>
      <x:c r="P94" s="62" t="n">
        <x:v>93</x:v>
      </x:c>
      <x:c r="Q94" s="62" t="n">
        <x:v>57</x:v>
      </x:c>
      <x:c r="R94" s="62" t="n">
        <x:v>95</x:v>
      </x:c>
      <x:c r="S94" s="62" t="n">
        <x:v>74</x:v>
      </x:c>
      <x:c r="T94" s="62" t="n">
        <x:v>3</x:v>
      </x:c>
      <x:c r="U94" s="62" t="n">
        <x:v>1</x:v>
      </x:c>
      <x:c r="V94" s="60"/>
      <x:c r="W94" s="60" t="n">
        <x:f>IF(COUNT(P94:S94)&gt;=3,AVERAGE(P94:S94),"")</x:f>
        <x:v>79.75</x:v>
      </x:c>
      <x:c r="X94" s="60" t="n">
        <x:f>IF(V94&lt;&gt;"",V94,W94)</x:f>
        <x:v>79.75</x:v>
      </x:c>
      <x:c r="Y94" s="40" t="str">
        <x:f>IF(V94&lt;&gt;"","공식 70% 평균백분위",IF(W94&lt;&gt;"","파생 단순평균(참고)","비교불가"))</x:f>
        <x:v>파생 단순평균(참고)</x:v>
      </x:c>
      <x:c r="Z94" s="60" t="n">
        <x:f>'추천_테스트'!$B$8</x:f>
        <x:v>80</x:v>
      </x:c>
      <x:c r="AA94" s="60" t="n">
        <x:f>IF(X94="","",Z94-X94)</x:f>
        <x:v>0.25</x:v>
      </x:c>
      <x:c r="AB94" s="40" t="str">
        <x:f>IF(X94="","",IF(AA94&gt;='추천_테스트'!$B$10,"안정",IF(AA94&gt;='추천_테스트'!$B$11,"적정",IF(AA94&gt;='추천_테스트'!$B$12,"소신","상향"))))</x:f>
        <x:v>소신</x:v>
      </x:c>
      <x:c r="AC94" s="62"/>
      <x:c r="AD94" s="62"/>
      <x:c r="AE94" s="62"/>
      <x:c r="AF94" s="41" t="str">
        <x:v>B: 공식 과목별 70% 백분위 → 단순평균 파생</x:v>
      </x:c>
      <x:c r="AG94" s="41" t="str">
        <x:v>https://www.adiga.kr/ucp/uvt/uni/univDetailSelection.do?menuId=PCUVTINF2000&amp;searchSyr=2026&amp;unvCd=0000014</x:v>
      </x:c>
    </x:row>
    <x:row r="95">
      <x:c r="A95" s="40" t="n">
        <x:v>2025</x:v>
      </x:c>
      <x:c r="B95" s="40" t="str">
        <x:v>부산광역시</x:v>
      </x:c>
      <x:c r="C95" s="40" t="str">
        <x:v>국립</x:v>
      </x:c>
      <x:c r="D95" s="40" t="str">
        <x:v>부산대학교</x:v>
      </x:c>
      <x:c r="E95" s="40" t="str">
        <x:v>가</x:v>
      </x:c>
      <x:c r="F95" s="40" t="str">
        <x:v>일반전형</x:v>
      </x:c>
      <x:c r="G95" s="41" t="str">
        <x:v>일어일문학과</x:v>
      </x:c>
      <x:c r="H95" s="40" t="n">
        <x:v>8</x:v>
      </x:c>
      <x:c r="I95" s="40" t="n">
        <x:v>4</x:v>
      </x:c>
      <x:c r="J95" s="40" t="n">
        <x:v>12</x:v>
      </x:c>
      <x:c r="K95" s="60" t="n">
        <x:v>5.7</x:v>
      </x:c>
      <x:c r="L95" s="40" t="n">
        <x:v>3</x:v>
      </x:c>
      <x:c r="M95" s="60" t="n">
        <x:v>684.25</x:v>
      </x:c>
      <x:c r="N95" s="60" t="n">
        <x:v>683.75</x:v>
      </x:c>
      <x:c r="O95" s="60" t="n">
        <x:v>1000</x:v>
      </x:c>
      <x:c r="P95" s="62" t="n">
        <x:v>85</x:v>
      </x:c>
      <x:c r="Q95" s="62" t="n">
        <x:v>68</x:v>
      </x:c>
      <x:c r="R95" s="62" t="n">
        <x:v>75</x:v>
      </x:c>
      <x:c r="S95" s="62" t="n">
        <x:v>91</x:v>
      </x:c>
      <x:c r="T95" s="62" t="n">
        <x:v>3</x:v>
      </x:c>
      <x:c r="U95" s="62" t="n">
        <x:v>5</x:v>
      </x:c>
      <x:c r="V95" s="60"/>
      <x:c r="W95" s="60" t="n">
        <x:f>IF(COUNT(P95:S95)&gt;=3,AVERAGE(P95:S95),"")</x:f>
        <x:v>79.75</x:v>
      </x:c>
      <x:c r="X95" s="60" t="n">
        <x:f>IF(V95&lt;&gt;"",V95,W95)</x:f>
        <x:v>79.75</x:v>
      </x:c>
      <x:c r="Y95" s="40" t="str">
        <x:f>IF(V95&lt;&gt;"","공식 70% 평균백분위",IF(W95&lt;&gt;"","파생 단순평균(참고)","비교불가"))</x:f>
        <x:v>파생 단순평균(참고)</x:v>
      </x:c>
      <x:c r="Z95" s="60" t="n">
        <x:f>'추천_테스트'!$B$8</x:f>
        <x:v>80</x:v>
      </x:c>
      <x:c r="AA95" s="60" t="n">
        <x:f>IF(X95="","",Z95-X95)</x:f>
        <x:v>0.25</x:v>
      </x:c>
      <x:c r="AB95" s="40" t="str">
        <x:f>IF(X95="","",IF(AA95&gt;='추천_테스트'!$B$10,"안정",IF(AA95&gt;='추천_테스트'!$B$11,"적정",IF(AA95&gt;='추천_테스트'!$B$12,"소신","상향"))))</x:f>
        <x:v>소신</x:v>
      </x:c>
      <x:c r="AC95" s="62"/>
      <x:c r="AD95" s="62"/>
      <x:c r="AE95" s="62"/>
      <x:c r="AF95" s="41" t="str">
        <x:v>B: 공식 과목별 70% 백분위 → 단순평균 파생</x:v>
      </x:c>
      <x:c r="AG95" s="41" t="str">
        <x:v>https://www.adiga.kr/ucp/uvt/uni/univDetailSelection.do?menuId=PCUVTINF2000&amp;searchSyr=2026&amp;unvCd=0000014</x:v>
      </x:c>
    </x:row>
    <x:row r="96">
      <x:c r="A96" s="40" t="n">
        <x:v>2025</x:v>
      </x:c>
      <x:c r="B96" s="40" t="str">
        <x:v>부산광역시</x:v>
      </x:c>
      <x:c r="C96" s="40" t="str">
        <x:v>국립</x:v>
      </x:c>
      <x:c r="D96" s="40" t="str">
        <x:v>부산대학교</x:v>
      </x:c>
      <x:c r="E96" s="40" t="str">
        <x:v>가</x:v>
      </x:c>
      <x:c r="F96" s="40" t="str">
        <x:v>일반전형</x:v>
      </x:c>
      <x:c r="G96" s="41" t="str">
        <x:v>불어불문학과</x:v>
      </x:c>
      <x:c r="H96" s="40" t="n">
        <x:v>10</x:v>
      </x:c>
      <x:c r="I96" s="40" t="n">
        <x:v>1</x:v>
      </x:c>
      <x:c r="J96" s="40" t="n">
        <x:v>11</x:v>
      </x:c>
      <x:c r="K96" s="60" t="n">
        <x:v>4.6</x:v>
      </x:c>
      <x:c r="L96" s="40" t="n">
        <x:v>15</x:v>
      </x:c>
      <x:c r="M96" s="60" t="n">
        <x:v>682.75</x:v>
      </x:c>
      <x:c r="N96" s="60" t="n">
        <x:v>682</x:v>
      </x:c>
      <x:c r="O96" s="60" t="n">
        <x:v>1000</x:v>
      </x:c>
      <x:c r="P96" s="62" t="n">
        <x:v>83</x:v>
      </x:c>
      <x:c r="Q96" s="62" t="n">
        <x:v>70</x:v>
      </x:c>
      <x:c r="R96" s="62" t="n">
        <x:v>80</x:v>
      </x:c>
      <x:c r="S96" s="62" t="n">
        <x:v>78</x:v>
      </x:c>
      <x:c r="T96" s="62" t="n">
        <x:v>2</x:v>
      </x:c>
      <x:c r="U96" s="62" t="n">
        <x:v>2</x:v>
      </x:c>
      <x:c r="V96" s="60"/>
      <x:c r="W96" s="60" t="n">
        <x:f>IF(COUNT(P96:S96)&gt;=3,AVERAGE(P96:S96),"")</x:f>
        <x:v>77.75</x:v>
      </x:c>
      <x:c r="X96" s="60" t="n">
        <x:f>IF(V96&lt;&gt;"",V96,W96)</x:f>
        <x:v>77.75</x:v>
      </x:c>
      <x:c r="Y96" s="40" t="str">
        <x:f>IF(V96&lt;&gt;"","공식 70% 평균백분위",IF(W96&lt;&gt;"","파생 단순평균(참고)","비교불가"))</x:f>
        <x:v>파생 단순평균(참고)</x:v>
      </x:c>
      <x:c r="Z96" s="60" t="n">
        <x:f>'추천_테스트'!$B$8</x:f>
        <x:v>80</x:v>
      </x:c>
      <x:c r="AA96" s="60" t="n">
        <x:f>IF(X96="","",Z96-X96)</x:f>
        <x:v>2.25</x:v>
      </x:c>
      <x:c r="AB96" s="40" t="str">
        <x:f>IF(X96="","",IF(AA96&gt;='추천_테스트'!$B$10,"안정",IF(AA96&gt;='추천_테스트'!$B$11,"적정",IF(AA96&gt;='추천_테스트'!$B$12,"소신","상향"))))</x:f>
        <x:v>적정</x:v>
      </x:c>
      <x:c r="AC96" s="62"/>
      <x:c r="AD96" s="62"/>
      <x:c r="AE96" s="62"/>
      <x:c r="AF96" s="41" t="str">
        <x:v>B: 공식 과목별 70% 백분위 → 단순평균 파생</x:v>
      </x:c>
      <x:c r="AG96" s="41" t="str">
        <x:v>https://www.adiga.kr/ucp/uvt/uni/univDetailSelection.do?menuId=PCUVTINF2000&amp;searchSyr=2026&amp;unvCd=0000014</x:v>
      </x:c>
    </x:row>
    <x:row r="97">
      <x:c r="A97" s="40" t="n">
        <x:v>2025</x:v>
      </x:c>
      <x:c r="B97" s="40" t="str">
        <x:v>부산광역시</x:v>
      </x:c>
      <x:c r="C97" s="40" t="str">
        <x:v>국립</x:v>
      </x:c>
      <x:c r="D97" s="40" t="str">
        <x:v>부산대학교</x:v>
      </x:c>
      <x:c r="E97" s="40" t="str">
        <x:v>가</x:v>
      </x:c>
      <x:c r="F97" s="40" t="str">
        <x:v>일반전형</x:v>
      </x:c>
      <x:c r="G97" s="41" t="str">
        <x:v>독어독문학과</x:v>
      </x:c>
      <x:c r="H97" s="40" t="n">
        <x:v>8</x:v>
      </x:c>
      <x:c r="I97" s="40" t="n">
        <x:v>2</x:v>
      </x:c>
      <x:c r="J97" s="40" t="n">
        <x:v>10</x:v>
      </x:c>
      <x:c r="K97" s="60" t="n">
        <x:v>5.2</x:v>
      </x:c>
      <x:c r="L97" s="40" t="n">
        <x:v>3</x:v>
      </x:c>
      <x:c r="M97" s="60" t="n">
        <x:v>678.25</x:v>
      </x:c>
      <x:c r="N97" s="60" t="n">
        <x:v>677</x:v>
      </x:c>
      <x:c r="O97" s="60" t="n">
        <x:v>1000</x:v>
      </x:c>
      <x:c r="P97" s="62" t="n">
        <x:v>63</x:v>
      </x:c>
      <x:c r="Q97" s="62" t="n">
        <x:v>70</x:v>
      </x:c>
      <x:c r="R97" s="62" t="n">
        <x:v>97</x:v>
      </x:c>
      <x:c r="S97" s="62" t="n">
        <x:v>95</x:v>
      </x:c>
      <x:c r="T97" s="62" t="n">
        <x:v>3</x:v>
      </x:c>
      <x:c r="U97" s="62" t="n">
        <x:v>5</x:v>
      </x:c>
      <x:c r="V97" s="60"/>
      <x:c r="W97" s="60" t="n">
        <x:f>IF(COUNT(P97:S97)&gt;=3,AVERAGE(P97:S97),"")</x:f>
        <x:v>81.25</x:v>
      </x:c>
      <x:c r="X97" s="60" t="n">
        <x:f>IF(V97&lt;&gt;"",V97,W97)</x:f>
        <x:v>81.25</x:v>
      </x:c>
      <x:c r="Y97" s="40" t="str">
        <x:f>IF(V97&lt;&gt;"","공식 70% 평균백분위",IF(W97&lt;&gt;"","파생 단순평균(참고)","비교불가"))</x:f>
        <x:v>파생 단순평균(참고)</x:v>
      </x:c>
      <x:c r="Z97" s="60" t="n">
        <x:f>'추천_테스트'!$B$8</x:f>
        <x:v>80</x:v>
      </x:c>
      <x:c r="AA97" s="60" t="n">
        <x:f>IF(X97="","",Z97-X97)</x:f>
        <x:v>-1.25</x:v>
      </x:c>
      <x:c r="AB97" s="40" t="str">
        <x:f>IF(X97="","",IF(AA97&gt;='추천_테스트'!$B$10,"안정",IF(AA97&gt;='추천_테스트'!$B$11,"적정",IF(AA97&gt;='추천_테스트'!$B$12,"소신","상향"))))</x:f>
        <x:v>소신</x:v>
      </x:c>
      <x:c r="AC97" s="62"/>
      <x:c r="AD97" s="62"/>
      <x:c r="AE97" s="62"/>
      <x:c r="AF97" s="41" t="str">
        <x:v>B: 공식 과목별 70% 백분위 → 단순평균 파생</x:v>
      </x:c>
      <x:c r="AG97" s="41" t="str">
        <x:v>https://www.adiga.kr/ucp/uvt/uni/univDetailSelection.do?menuId=PCUVTINF2000&amp;searchSyr=2026&amp;unvCd=0000014</x:v>
      </x:c>
    </x:row>
    <x:row r="98">
      <x:c r="A98" s="40" t="n">
        <x:v>2025</x:v>
      </x:c>
      <x:c r="B98" s="40" t="str">
        <x:v>부산광역시</x:v>
      </x:c>
      <x:c r="C98" s="40" t="str">
        <x:v>국립</x:v>
      </x:c>
      <x:c r="D98" s="40" t="str">
        <x:v>부산대학교</x:v>
      </x:c>
      <x:c r="E98" s="40" t="str">
        <x:v>가</x:v>
      </x:c>
      <x:c r="F98" s="40" t="str">
        <x:v>일반전형</x:v>
      </x:c>
      <x:c r="G98" s="41" t="str">
        <x:v>노어노문학과</x:v>
      </x:c>
      <x:c r="H98" s="40" t="n">
        <x:v>8</x:v>
      </x:c>
      <x:c r="I98" s="40" t="n">
        <x:v>2</x:v>
      </x:c>
      <x:c r="J98" s="40" t="n">
        <x:v>10</x:v>
      </x:c>
      <x:c r="K98" s="60" t="n">
        <x:v>4.7</x:v>
      </x:c>
      <x:c r="L98" s="40" t="n">
        <x:v>7</x:v>
      </x:c>
      <x:c r="M98" s="60" t="n">
        <x:v>680.75</x:v>
      </x:c>
      <x:c r="N98" s="60" t="n">
        <x:v>680.25</x:v>
      </x:c>
      <x:c r="O98" s="60" t="n">
        <x:v>1000</x:v>
      </x:c>
      <x:c r="P98" s="62" t="n">
        <x:v>72</x:v>
      </x:c>
      <x:c r="Q98" s="62" t="n">
        <x:v>57</x:v>
      </x:c>
      <x:c r="R98" s="62" t="n">
        <x:v>99</x:v>
      </x:c>
      <x:c r="S98" s="62" t="n">
        <x:v>95</x:v>
      </x:c>
      <x:c r="T98" s="62" t="n">
        <x:v>3</x:v>
      </x:c>
      <x:c r="U98" s="62" t="n">
        <x:v>1</x:v>
      </x:c>
      <x:c r="V98" s="60"/>
      <x:c r="W98" s="60" t="n">
        <x:f>IF(COUNT(P98:S98)&gt;=3,AVERAGE(P98:S98),"")</x:f>
        <x:v>80.75</x:v>
      </x:c>
      <x:c r="X98" s="60" t="n">
        <x:f>IF(V98&lt;&gt;"",V98,W98)</x:f>
        <x:v>80.75</x:v>
      </x:c>
      <x:c r="Y98" s="40" t="str">
        <x:f>IF(V98&lt;&gt;"","공식 70% 평균백분위",IF(W98&lt;&gt;"","파생 단순평균(참고)","비교불가"))</x:f>
        <x:v>파생 단순평균(참고)</x:v>
      </x:c>
      <x:c r="Z98" s="60" t="n">
        <x:f>'추천_테스트'!$B$8</x:f>
        <x:v>80</x:v>
      </x:c>
      <x:c r="AA98" s="60" t="n">
        <x:f>IF(X98="","",Z98-X98)</x:f>
        <x:v>-0.75</x:v>
      </x:c>
      <x:c r="AB98" s="40" t="str">
        <x:f>IF(X98="","",IF(AA98&gt;='추천_테스트'!$B$10,"안정",IF(AA98&gt;='추천_테스트'!$B$11,"적정",IF(AA98&gt;='추천_테스트'!$B$12,"소신","상향"))))</x:f>
        <x:v>소신</x:v>
      </x:c>
      <x:c r="AC98" s="62"/>
      <x:c r="AD98" s="62"/>
      <x:c r="AE98" s="62"/>
      <x:c r="AF98" s="41" t="str">
        <x:v>B: 공식 과목별 70% 백분위 → 단순평균 파생</x:v>
      </x:c>
      <x:c r="AG98" s="41" t="str">
        <x:v>https://www.adiga.kr/ucp/uvt/uni/univDetailSelection.do?menuId=PCUVTINF2000&amp;searchSyr=2026&amp;unvCd=0000014</x:v>
      </x:c>
    </x:row>
    <x:row r="99">
      <x:c r="A99" s="40" t="n">
        <x:v>2025</x:v>
      </x:c>
      <x:c r="B99" s="40" t="str">
        <x:v>부산광역시</x:v>
      </x:c>
      <x:c r="C99" s="40" t="str">
        <x:v>국립</x:v>
      </x:c>
      <x:c r="D99" s="40" t="str">
        <x:v>부산대학교</x:v>
      </x:c>
      <x:c r="E99" s="40" t="str">
        <x:v>가</x:v>
      </x:c>
      <x:c r="F99" s="40" t="str">
        <x:v>일반전형</x:v>
      </x:c>
      <x:c r="G99" s="41" t="str">
        <x:v>언어정보학과</x:v>
      </x:c>
      <x:c r="H99" s="40" t="n">
        <x:v>10</x:v>
      </x:c>
      <x:c r="I99" s="40" t="n">
        <x:v>1</x:v>
      </x:c>
      <x:c r="J99" s="40" t="n">
        <x:v>11</x:v>
      </x:c>
      <x:c r="K99" s="60" t="n">
        <x:v>8.5</x:v>
      </x:c>
      <x:c r="L99" s="40" t="n">
        <x:v>12</x:v>
      </x:c>
      <x:c r="M99" s="60" t="n">
        <x:v>686</x:v>
      </x:c>
      <x:c r="N99" s="60" t="n">
        <x:v>684.25</x:v>
      </x:c>
      <x:c r="O99" s="60" t="n">
        <x:v>1000</x:v>
      </x:c>
      <x:c r="P99" s="62" t="n">
        <x:v>82</x:v>
      </x:c>
      <x:c r="Q99" s="62" t="n">
        <x:v>78</x:v>
      </x:c>
      <x:c r="R99" s="62" t="n">
        <x:v>92</x:v>
      </x:c>
      <x:c r="S99" s="62" t="n">
        <x:v>60</x:v>
      </x:c>
      <x:c r="T99" s="62" t="n">
        <x:v>2</x:v>
      </x:c>
      <x:c r="U99" s="62" t="n">
        <x:v>1</x:v>
      </x:c>
      <x:c r="V99" s="60"/>
      <x:c r="W99" s="60" t="n">
        <x:f>IF(COUNT(P99:S99)&gt;=3,AVERAGE(P99:S99),"")</x:f>
        <x:v>78</x:v>
      </x:c>
      <x:c r="X99" s="60" t="n">
        <x:f>IF(V99&lt;&gt;"",V99,W99)</x:f>
        <x:v>78</x:v>
      </x:c>
      <x:c r="Y99" s="40" t="str">
        <x:f>IF(V99&lt;&gt;"","공식 70% 평균백분위",IF(W99&lt;&gt;"","파생 단순평균(참고)","비교불가"))</x:f>
        <x:v>파생 단순평균(참고)</x:v>
      </x:c>
      <x:c r="Z99" s="60" t="n">
        <x:f>'추천_테스트'!$B$8</x:f>
        <x:v>80</x:v>
      </x:c>
      <x:c r="AA99" s="60" t="n">
        <x:f>IF(X99="","",Z99-X99)</x:f>
        <x:v>2</x:v>
      </x:c>
      <x:c r="AB99" s="40" t="str">
        <x:f>IF(X99="","",IF(AA99&gt;='추천_테스트'!$B$10,"안정",IF(AA99&gt;='추천_테스트'!$B$11,"적정",IF(AA99&gt;='추천_테스트'!$B$12,"소신","상향"))))</x:f>
        <x:v>적정</x:v>
      </x:c>
      <x:c r="AC99" s="62"/>
      <x:c r="AD99" s="62"/>
      <x:c r="AE99" s="62"/>
      <x:c r="AF99" s="41" t="str">
        <x:v>B: 공식 과목별 70% 백분위 → 단순평균 파생</x:v>
      </x:c>
      <x:c r="AG99" s="41" t="str">
        <x:v>https://www.adiga.kr/ucp/uvt/uni/univDetailSelection.do?menuId=PCUVTINF2000&amp;searchSyr=2026&amp;unvCd=0000014</x:v>
      </x:c>
    </x:row>
    <x:row r="100">
      <x:c r="A100" s="40" t="n">
        <x:v>2025</x:v>
      </x:c>
      <x:c r="B100" s="40" t="str">
        <x:v>부산광역시</x:v>
      </x:c>
      <x:c r="C100" s="40" t="str">
        <x:v>국립</x:v>
      </x:c>
      <x:c r="D100" s="40" t="str">
        <x:v>부산대학교</x:v>
      </x:c>
      <x:c r="E100" s="40" t="str">
        <x:v>가</x:v>
      </x:c>
      <x:c r="F100" s="40" t="str">
        <x:v>일반전형</x:v>
      </x:c>
      <x:c r="G100" s="41" t="str">
        <x:v>고고학과</x:v>
      </x:c>
      <x:c r="H100" s="40" t="n">
        <x:v>8</x:v>
      </x:c>
      <x:c r="I100" s="40" t="n">
        <x:v>0</x:v>
      </x:c>
      <x:c r="J100" s="40" t="n">
        <x:v>8</x:v>
      </x:c>
      <x:c r="K100" s="60" t="n">
        <x:v>6.8</x:v>
      </x:c>
      <x:c r="L100" s="40" t="n">
        <x:v>8</x:v>
      </x:c>
      <x:c r="M100" s="60" t="n">
        <x:v>681</x:v>
      </x:c>
      <x:c r="N100" s="60" t="n">
        <x:v>680.75</x:v>
      </x:c>
      <x:c r="O100" s="60" t="n">
        <x:v>1000</x:v>
      </x:c>
      <x:c r="P100" s="62" t="n">
        <x:v>85</x:v>
      </x:c>
      <x:c r="Q100" s="62" t="n">
        <x:v>78</x:v>
      </x:c>
      <x:c r="R100" s="62" t="n">
        <x:v>71</x:v>
      </x:c>
      <x:c r="S100" s="62" t="n">
        <x:v>75</x:v>
      </x:c>
      <x:c r="T100" s="62" t="n">
        <x:v>2</x:v>
      </x:c>
      <x:c r="U100" s="62" t="n">
        <x:v>2</x:v>
      </x:c>
      <x:c r="V100" s="60"/>
      <x:c r="W100" s="60" t="n">
        <x:f>IF(COUNT(P100:S100)&gt;=3,AVERAGE(P100:S100),"")</x:f>
        <x:v>77.25</x:v>
      </x:c>
      <x:c r="X100" s="60" t="n">
        <x:f>IF(V100&lt;&gt;"",V100,W100)</x:f>
        <x:v>77.25</x:v>
      </x:c>
      <x:c r="Y100" s="40" t="str">
        <x:f>IF(V100&lt;&gt;"","공식 70% 평균백분위",IF(W100&lt;&gt;"","파생 단순평균(참고)","비교불가"))</x:f>
        <x:v>파생 단순평균(참고)</x:v>
      </x:c>
      <x:c r="Z100" s="60" t="n">
        <x:f>'추천_테스트'!$B$8</x:f>
        <x:v>80</x:v>
      </x:c>
      <x:c r="AA100" s="60" t="n">
        <x:f>IF(X100="","",Z100-X100)</x:f>
        <x:v>2.75</x:v>
      </x:c>
      <x:c r="AB100" s="40" t="str">
        <x:f>IF(X100="","",IF(AA100&gt;='추천_테스트'!$B$10,"안정",IF(AA100&gt;='추천_테스트'!$B$11,"적정",IF(AA100&gt;='추천_테스트'!$B$12,"소신","상향"))))</x:f>
        <x:v>적정</x:v>
      </x:c>
      <x:c r="AC100" s="62"/>
      <x:c r="AD100" s="62"/>
      <x:c r="AE100" s="62"/>
      <x:c r="AF100" s="41" t="str">
        <x:v>B: 공식 과목별 70% 백분위 → 단순평균 파생</x:v>
      </x:c>
      <x:c r="AG100" s="41" t="str">
        <x:v>https://www.adiga.kr/ucp/uvt/uni/univDetailSelection.do?menuId=PCUVTINF2000&amp;searchSyr=2026&amp;unvCd=0000014</x:v>
      </x:c>
    </x:row>
    <x:row r="101">
      <x:c r="A101" s="40" t="n">
        <x:v>2025</x:v>
      </x:c>
      <x:c r="B101" s="40" t="str">
        <x:v>부산광역시</x:v>
      </x:c>
      <x:c r="C101" s="40" t="str">
        <x:v>국립</x:v>
      </x:c>
      <x:c r="D101" s="40" t="str">
        <x:v>부산대학교</x:v>
      </x:c>
      <x:c r="E101" s="40" t="str">
        <x:v>가</x:v>
      </x:c>
      <x:c r="F101" s="40" t="str">
        <x:v>일반전형</x:v>
      </x:c>
      <x:c r="G101" s="41" t="str">
        <x:v>간호학과</x:v>
      </x:c>
      <x:c r="H101" s="40" t="n">
        <x:v>9</x:v>
      </x:c>
      <x:c r="I101" s="40" t="n">
        <x:v>0</x:v>
      </x:c>
      <x:c r="J101" s="40" t="n">
        <x:v>9</x:v>
      </x:c>
      <x:c r="K101" s="60" t="n">
        <x:v>3.1</x:v>
      </x:c>
      <x:c r="L101" s="40" t="n">
        <x:v>2</x:v>
      </x:c>
      <x:c r="M101" s="60" t="n">
        <x:v>691.5</x:v>
      </x:c>
      <x:c r="N101" s="60" t="n">
        <x:v>686.5</x:v>
      </x:c>
      <x:c r="O101" s="60" t="n">
        <x:v>1000</x:v>
      </x:c>
      <x:c r="P101" s="62" t="n">
        <x:v>88</x:v>
      </x:c>
      <x:c r="Q101" s="62" t="n">
        <x:v>87</x:v>
      </x:c>
      <x:c r="R101" s="62" t="n">
        <x:v>68</x:v>
      </x:c>
      <x:c r="S101" s="62" t="n">
        <x:v>71</x:v>
      </x:c>
      <x:c r="T101" s="62" t="n">
        <x:v>3</x:v>
      </x:c>
      <x:c r="U101" s="62" t="n">
        <x:v>1</x:v>
      </x:c>
      <x:c r="V101" s="60"/>
      <x:c r="W101" s="60" t="n">
        <x:f>IF(COUNT(P101:S101)&gt;=3,AVERAGE(P101:S101),"")</x:f>
        <x:v>78.5</x:v>
      </x:c>
      <x:c r="X101" s="60" t="n">
        <x:f>IF(V101&lt;&gt;"",V101,W101)</x:f>
        <x:v>78.5</x:v>
      </x:c>
      <x:c r="Y101" s="40" t="str">
        <x:f>IF(V101&lt;&gt;"","공식 70% 평균백분위",IF(W101&lt;&gt;"","파생 단순평균(참고)","비교불가"))</x:f>
        <x:v>파생 단순평균(참고)</x:v>
      </x:c>
      <x:c r="Z101" s="60" t="n">
        <x:f>'추천_테스트'!$B$8</x:f>
        <x:v>80</x:v>
      </x:c>
      <x:c r="AA101" s="60" t="n">
        <x:f>IF(X101="","",Z101-X101)</x:f>
        <x:v>1.5</x:v>
      </x:c>
      <x:c r="AB101" s="40" t="str">
        <x:f>IF(X101="","",IF(AA101&gt;='추천_테스트'!$B$10,"안정",IF(AA101&gt;='추천_테스트'!$B$11,"적정",IF(AA101&gt;='추천_테스트'!$B$12,"소신","상향"))))</x:f>
        <x:v>적정</x:v>
      </x:c>
      <x:c r="AC101" s="62"/>
      <x:c r="AD101" s="62"/>
      <x:c r="AE101" s="62"/>
      <x:c r="AF101" s="41" t="str">
        <x:v>B: 공식 과목별 70% 백분위 → 단순평균 파생</x:v>
      </x:c>
      <x:c r="AG101" s="41" t="str">
        <x:v>https://www.adiga.kr/ucp/uvt/uni/univDetailSelection.do?menuId=PCUVTINF2000&amp;searchSyr=2026&amp;unvCd=0000014</x:v>
      </x:c>
    </x:row>
    <x:row r="102">
      <x:c r="A102" s="40" t="n">
        <x:v>2025</x:v>
      </x:c>
      <x:c r="B102" s="40" t="str">
        <x:v>부산광역시</x:v>
      </x:c>
      <x:c r="C102" s="40" t="str">
        <x:v>국립</x:v>
      </x:c>
      <x:c r="D102" s="40" t="str">
        <x:v>부산대학교</x:v>
      </x:c>
      <x:c r="E102" s="40" t="str">
        <x:v>나</x:v>
      </x:c>
      <x:c r="F102" s="40" t="str">
        <x:v>일반전형</x:v>
      </x:c>
      <x:c r="G102" s="41" t="str">
        <x:v>약학부</x:v>
      </x:c>
      <x:c r="H102" s="40" t="n">
        <x:v>12</x:v>
      </x:c>
      <x:c r="I102" s="40" t="n">
        <x:v>10</x:v>
      </x:c>
      <x:c r="J102" s="40" t="n">
        <x:v>22</x:v>
      </x:c>
      <x:c r="K102" s="60" t="n">
        <x:v>6.2</x:v>
      </x:c>
      <x:c r="L102" s="40" t="n">
        <x:v>24</x:v>
      </x:c>
      <x:c r="M102" s="60" t="n">
        <x:v>736.5</x:v>
      </x:c>
      <x:c r="N102" s="60" t="n">
        <x:v>735.5</x:v>
      </x:c>
      <x:c r="O102" s="60" t="n">
        <x:v>1000</x:v>
      </x:c>
      <x:c r="P102" s="62" t="n">
        <x:v>99</x:v>
      </x:c>
      <x:c r="Q102" s="62" t="n">
        <x:v>97</x:v>
      </x:c>
      <x:c r="R102" s="62" t="n">
        <x:v>100</x:v>
      </x:c>
      <x:c r="S102" s="62" t="n">
        <x:v>75</x:v>
      </x:c>
      <x:c r="T102" s="62" t="n">
        <x:v>2</x:v>
      </x:c>
      <x:c r="U102" s="62" t="n">
        <x:v>1</x:v>
      </x:c>
      <x:c r="V102" s="60"/>
      <x:c r="W102" s="60" t="n">
        <x:f>IF(COUNT(P102:S102)&gt;=3,AVERAGE(P102:S102),"")</x:f>
        <x:v>92.75</x:v>
      </x:c>
      <x:c r="X102" s="60" t="n">
        <x:f>IF(V102&lt;&gt;"",V102,W102)</x:f>
        <x:v>92.75</x:v>
      </x:c>
      <x:c r="Y102" s="40" t="str">
        <x:f>IF(V102&lt;&gt;"","공식 70% 평균백분위",IF(W102&lt;&gt;"","파생 단순평균(참고)","비교불가"))</x:f>
        <x:v>파생 단순평균(참고)</x:v>
      </x:c>
      <x:c r="Z102" s="60" t="n">
        <x:f>'추천_테스트'!$B$8</x:f>
        <x:v>80</x:v>
      </x:c>
      <x:c r="AA102" s="60" t="n">
        <x:f>IF(X102="","",Z102-X102)</x:f>
        <x:v>-12.75</x:v>
      </x:c>
      <x:c r="AB102" s="40" t="str">
        <x:f>IF(X102="","",IF(AA102&gt;='추천_테스트'!$B$10,"안정",IF(AA102&gt;='추천_테스트'!$B$11,"적정",IF(AA102&gt;='추천_테스트'!$B$12,"소신","상향"))))</x:f>
        <x:v>상향</x:v>
      </x:c>
      <x:c r="AC102" s="62"/>
      <x:c r="AD102" s="62"/>
      <x:c r="AE102" s="62"/>
      <x:c r="AF102" s="41" t="str">
        <x:v>B: 공식 과목별 70% 백분위 → 단순평균 파생</x:v>
      </x:c>
      <x:c r="AG102" s="41" t="str">
        <x:v>https://www.adiga.kr/ucp/uvt/uni/univDetailSelection.do?menuId=PCUVTINF2000&amp;searchSyr=2026&amp;unvCd=0000014</x:v>
      </x:c>
    </x:row>
    <x:row r="103">
      <x:c r="A103" s="40" t="n">
        <x:v>2025</x:v>
      </x:c>
      <x:c r="B103" s="40" t="str">
        <x:v>부산광역시</x:v>
      </x:c>
      <x:c r="C103" s="40" t="str">
        <x:v>국립</x:v>
      </x:c>
      <x:c r="D103" s="40" t="str">
        <x:v>부산대학교</x:v>
      </x:c>
      <x:c r="E103" s="40" t="str">
        <x:v>나</x:v>
      </x:c>
      <x:c r="F103" s="40" t="str">
        <x:v>일반전형</x:v>
      </x:c>
      <x:c r="G103" s="41" t="str">
        <x:v>의예과</x:v>
      </x:c>
      <x:c r="H103" s="40" t="n">
        <x:v>26</x:v>
      </x:c>
      <x:c r="I103" s="40" t="n">
        <x:v>10</x:v>
      </x:c>
      <x:c r="J103" s="40" t="n">
        <x:v>36</x:v>
      </x:c>
      <x:c r="K103" s="60" t="n">
        <x:v>3.8</x:v>
      </x:c>
      <x:c r="L103" s="40" t="n">
        <x:v>11</x:v>
      </x:c>
      <x:c r="M103" s="60" t="n">
        <x:v>600.4</x:v>
      </x:c>
      <x:c r="N103" s="60" t="n">
        <x:v>599.6</x:v>
      </x:c>
      <x:c r="O103" s="60" t="n">
        <x:v>800</x:v>
      </x:c>
      <x:c r="P103" s="62" t="n">
        <x:v>100</x:v>
      </x:c>
      <x:c r="Q103" s="62" t="n">
        <x:v>99</x:v>
      </x:c>
      <x:c r="R103" s="62" t="n">
        <x:v>87</x:v>
      </x:c>
      <x:c r="S103" s="62" t="n">
        <x:v>99</x:v>
      </x:c>
      <x:c r="T103" s="62" t="n">
        <x:v>2</x:v>
      </x:c>
      <x:c r="U103" s="62" t="n">
        <x:v>1</x:v>
      </x:c>
      <x:c r="V103" s="60"/>
      <x:c r="W103" s="60" t="n">
        <x:f>IF(COUNT(P103:S103)&gt;=3,AVERAGE(P103:S103),"")</x:f>
        <x:v>96.25</x:v>
      </x:c>
      <x:c r="X103" s="60" t="n">
        <x:f>IF(V103&lt;&gt;"",V103,W103)</x:f>
        <x:v>96.25</x:v>
      </x:c>
      <x:c r="Y103" s="40" t="str">
        <x:f>IF(V103&lt;&gt;"","공식 70% 평균백분위",IF(W103&lt;&gt;"","파생 단순평균(참고)","비교불가"))</x:f>
        <x:v>파생 단순평균(참고)</x:v>
      </x:c>
      <x:c r="Z103" s="60" t="n">
        <x:f>'추천_테스트'!$B$8</x:f>
        <x:v>80</x:v>
      </x:c>
      <x:c r="AA103" s="60" t="n">
        <x:f>IF(X103="","",Z103-X103)</x:f>
        <x:v>-16.25</x:v>
      </x:c>
      <x:c r="AB103" s="40" t="str">
        <x:f>IF(X103="","",IF(AA103&gt;='추천_테스트'!$B$10,"안정",IF(AA103&gt;='추천_테스트'!$B$11,"적정",IF(AA103&gt;='추천_테스트'!$B$12,"소신","상향"))))</x:f>
        <x:v>상향</x:v>
      </x:c>
      <x:c r="AC103" s="62"/>
      <x:c r="AD103" s="62"/>
      <x:c r="AE103" s="62"/>
      <x:c r="AF103" s="41" t="str">
        <x:v>B: 공식 과목별 70% 백분위 → 단순평균 파생</x:v>
      </x:c>
      <x:c r="AG103" s="41" t="str">
        <x:v>https://www.adiga.kr/ucp/uvt/uni/univDetailSelection.do?menuId=PCUVTINF2000&amp;searchSyr=2026&amp;unvCd=0000014</x:v>
      </x:c>
    </x:row>
    <x:row r="104">
      <x:c r="A104" s="40" t="n">
        <x:v>2025</x:v>
      </x:c>
      <x:c r="B104" s="40" t="str">
        <x:v>제주특별자치도</x:v>
      </x:c>
      <x:c r="C104" s="40" t="str">
        <x:v>국립</x:v>
      </x:c>
      <x:c r="D104" s="40" t="str">
        <x:v>제주대학교</x:v>
      </x:c>
      <x:c r="E104" s="40" t="str">
        <x:v>나</x:v>
      </x:c>
      <x:c r="F104" s="40" t="str">
        <x:v>일반학생</x:v>
      </x:c>
      <x:c r="G104" s="41" t="str">
        <x:v>영어영문학과</x:v>
      </x:c>
      <x:c r="H104" s="40" t="n">
        <x:v>9</x:v>
      </x:c>
      <x:c r="I104" s="40" t="n">
        <x:v>0</x:v>
      </x:c>
      <x:c r="J104" s="40" t="n">
        <x:v>9</x:v>
      </x:c>
      <x:c r="K104" s="60" t="n">
        <x:v>5.67</x:v>
      </x:c>
      <x:c r="L104" s="40" t="n">
        <x:v>12</x:v>
      </x:c>
      <x:c r="M104" s="60" t="n">
        <x:v>701</x:v>
      </x:c>
      <x:c r="N104" s="60" t="n">
        <x:v>695.62</x:v>
      </x:c>
      <x:c r="O104" s="60" t="n">
        <x:v>1000</x:v>
      </x:c>
      <x:c r="P104" s="62" t="n">
        <x:v>68</x:v>
      </x:c>
      <x:c r="Q104" s="62" t="n">
        <x:v>45</x:v>
      </x:c>
      <x:c r="R104" s="62" t="n">
        <x:v>71</x:v>
      </x:c>
      <x:c r="S104" s="62" t="n">
        <x:v>56.6</x:v>
      </x:c>
      <x:c r="T104" s="62" t="n">
        <x:v>4</x:v>
      </x:c>
      <x:c r="U104" s="62" t="n">
        <x:v>3</x:v>
      </x:c>
      <x:c r="V104" s="60"/>
      <x:c r="W104" s="60" t="n">
        <x:f>IF(COUNT(P104:S104)&gt;=3,AVERAGE(P104:S104),"")</x:f>
        <x:v>60.15</x:v>
      </x:c>
      <x:c r="X104" s="60" t="n">
        <x:f>IF(V104&lt;&gt;"",V104,W104)</x:f>
        <x:v>60.15</x:v>
      </x:c>
      <x:c r="Y104" s="40" t="str">
        <x:f>IF(V104&lt;&gt;"","공식 70% 평균백분위",IF(W104&lt;&gt;"","파생 단순평균(참고)","비교불가"))</x:f>
        <x:v>파생 단순평균(참고)</x:v>
      </x:c>
      <x:c r="Z104" s="60" t="n">
        <x:f>'추천_테스트'!$B$8</x:f>
        <x:v>80</x:v>
      </x:c>
      <x:c r="AA104" s="60" t="n">
        <x:f>IF(X104="","",Z104-X104)</x:f>
        <x:v>19.85</x:v>
      </x:c>
      <x:c r="AB104" s="40" t="str">
        <x:f>IF(X104="","",IF(AA104&gt;='추천_테스트'!$B$10,"안정",IF(AA104&gt;='추천_테스트'!$B$11,"적정",IF(AA104&gt;='추천_테스트'!$B$12,"소신","상향"))))</x:f>
        <x:v>안정</x:v>
      </x:c>
      <x:c r="AC104" s="62" t="n">
        <x:v>100</x:v>
      </x:c>
      <x:c r="AD104" s="62"/>
      <x:c r="AE104" s="62"/>
      <x:c r="AF104" s="41" t="str">
        <x:v>B: 공식 과목별 70% 백분위 → 단순평균 파생</x:v>
      </x:c>
      <x:c r="AG104" s="41" t="str">
        <x:v>https://www.adiga.kr/ucp/uvt/uni/univDetailSelection.do?menuId=PCUVTINF2000&amp;searchSyr=2026&amp;unvCd=0000027</x:v>
      </x:c>
    </x:row>
    <x:row r="105">
      <x:c r="A105" s="40" t="n">
        <x:v>2025</x:v>
      </x:c>
      <x:c r="B105" s="40" t="str">
        <x:v>제주특별자치도</x:v>
      </x:c>
      <x:c r="C105" s="40" t="str">
        <x:v>국립</x:v>
      </x:c>
      <x:c r="D105" s="40" t="str">
        <x:v>제주대학교</x:v>
      </x:c>
      <x:c r="E105" s="40" t="str">
        <x:v>나</x:v>
      </x:c>
      <x:c r="F105" s="40" t="str">
        <x:v>일반학생</x:v>
      </x:c>
      <x:c r="G105" s="41" t="str">
        <x:v>중어중문학과</x:v>
      </x:c>
      <x:c r="H105" s="40" t="n">
        <x:v>9</x:v>
      </x:c>
      <x:c r="I105" s="40" t="n">
        <x:v>2</x:v>
      </x:c>
      <x:c r="J105" s="40" t="n">
        <x:v>11</x:v>
      </x:c>
      <x:c r="K105" s="60" t="n">
        <x:v>4.36</x:v>
      </x:c>
      <x:c r="L105" s="40" t="n">
        <x:v>14</x:v>
      </x:c>
      <x:c r="M105" s="60" t="n">
        <x:v>651.5</x:v>
      </x:c>
      <x:c r="N105" s="60" t="n">
        <x:v>645</x:v>
      </x:c>
      <x:c r="O105" s="60" t="n">
        <x:v>1000</x:v>
      </x:c>
      <x:c r="P105" s="62" t="n">
        <x:v>54</x:v>
      </x:c>
      <x:c r="Q105" s="62" t="n">
        <x:v>41</x:v>
      </x:c>
      <x:c r="R105" s="62" t="n">
        <x:v>53</x:v>
      </x:c>
      <x:c r="S105" s="62" t="n">
        <x:v>59</x:v>
      </x:c>
      <x:c r="T105" s="62" t="n">
        <x:v>4</x:v>
      </x:c>
      <x:c r="U105" s="62" t="n">
        <x:v>3</x:v>
      </x:c>
      <x:c r="V105" s="60"/>
      <x:c r="W105" s="60" t="n">
        <x:f>IF(COUNT(P105:S105)&gt;=3,AVERAGE(P105:S105),"")</x:f>
        <x:v>51.75</x:v>
      </x:c>
      <x:c r="X105" s="60" t="n">
        <x:f>IF(V105&lt;&gt;"",V105,W105)</x:f>
        <x:v>51.75</x:v>
      </x:c>
      <x:c r="Y105" s="40" t="str">
        <x:f>IF(V105&lt;&gt;"","공식 70% 평균백분위",IF(W105&lt;&gt;"","파생 단순평균(참고)","비교불가"))</x:f>
        <x:v>파생 단순평균(참고)</x:v>
      </x:c>
      <x:c r="Z105" s="60" t="n">
        <x:f>'추천_테스트'!$B$8</x:f>
        <x:v>80</x:v>
      </x:c>
      <x:c r="AA105" s="60" t="n">
        <x:f>IF(X105="","",Z105-X105)</x:f>
        <x:v>28.25</x:v>
      </x:c>
      <x:c r="AB105" s="40" t="str">
        <x:f>IF(X105="","",IF(AA105&gt;='추천_테스트'!$B$10,"안정",IF(AA105&gt;='추천_테스트'!$B$11,"적정",IF(AA105&gt;='추천_테스트'!$B$12,"소신","상향"))))</x:f>
        <x:v>안정</x:v>
      </x:c>
      <x:c r="AC105" s="62" t="n">
        <x:v>90.9</x:v>
      </x:c>
      <x:c r="AD105" s="62" t="n">
        <x:v>9.1</x:v>
      </x:c>
      <x:c r="AE105" s="62"/>
      <x:c r="AF105" s="41" t="str">
        <x:v>B: 공식 과목별 70% 백분위 → 단순평균 파생</x:v>
      </x:c>
      <x:c r="AG105" s="41" t="str">
        <x:v>https://www.adiga.kr/ucp/uvt/uni/univDetailSelection.do?menuId=PCUVTINF2000&amp;searchSyr=2026&amp;unvCd=0000027</x:v>
      </x:c>
    </x:row>
    <x:row r="106">
      <x:c r="A106" s="40" t="n">
        <x:v>2025</x:v>
      </x:c>
      <x:c r="B106" s="40" t="str">
        <x:v>제주특별자치도</x:v>
      </x:c>
      <x:c r="C106" s="40" t="str">
        <x:v>국립</x:v>
      </x:c>
      <x:c r="D106" s="40" t="str">
        <x:v>제주대학교</x:v>
      </x:c>
      <x:c r="E106" s="40" t="str">
        <x:v>나</x:v>
      </x:c>
      <x:c r="F106" s="40" t="str">
        <x:v>일반학생</x:v>
      </x:c>
      <x:c r="G106" s="41" t="str">
        <x:v>사학과</x:v>
      </x:c>
      <x:c r="H106" s="40" t="n">
        <x:v>10</x:v>
      </x:c>
      <x:c r="I106" s="40" t="n">
        <x:v>0</x:v>
      </x:c>
      <x:c r="J106" s="40" t="n">
        <x:v>10</x:v>
      </x:c>
      <x:c r="K106" s="60" t="n">
        <x:v>4.6</x:v>
      </x:c>
      <x:c r="L106" s="40" t="n">
        <x:v>8</x:v>
      </x:c>
      <x:c r="M106" s="60" t="n">
        <x:v>685.5</x:v>
      </x:c>
      <x:c r="N106" s="60" t="n">
        <x:v>671.05</x:v>
      </x:c>
      <x:c r="O106" s="60" t="n">
        <x:v>1000</x:v>
      </x:c>
      <x:c r="P106" s="62" t="n">
        <x:v>59.7</x:v>
      </x:c>
      <x:c r="Q106" s="62" t="n">
        <x:v>45.1</x:v>
      </x:c>
      <x:c r="R106" s="62" t="n">
        <x:v>67.2</x:v>
      </x:c>
      <x:c r="S106" s="62" t="n">
        <x:v>69.8</x:v>
      </x:c>
      <x:c r="T106" s="62" t="n">
        <x:v>4.3</x:v>
      </x:c>
      <x:c r="U106" s="62" t="n">
        <x:v>2</x:v>
      </x:c>
      <x:c r="V106" s="60"/>
      <x:c r="W106" s="60" t="n">
        <x:f>IF(COUNT(P106:S106)&gt;=3,AVERAGE(P106:S106),"")</x:f>
        <x:v>60.45</x:v>
      </x:c>
      <x:c r="X106" s="60" t="n">
        <x:f>IF(V106&lt;&gt;"",V106,W106)</x:f>
        <x:v>60.45</x:v>
      </x:c>
      <x:c r="Y106" s="40" t="str">
        <x:f>IF(V106&lt;&gt;"","공식 70% 평균백분위",IF(W106&lt;&gt;"","파생 단순평균(참고)","비교불가"))</x:f>
        <x:v>파생 단순평균(참고)</x:v>
      </x:c>
      <x:c r="Z106" s="60" t="n">
        <x:f>'추천_테스트'!$B$8</x:f>
        <x:v>80</x:v>
      </x:c>
      <x:c r="AA106" s="60" t="n">
        <x:f>IF(X106="","",Z106-X106)</x:f>
        <x:v>19.549999999999997</x:v>
      </x:c>
      <x:c r="AB106" s="40" t="str">
        <x:f>IF(X106="","",IF(AA106&gt;='추천_테스트'!$B$10,"안정",IF(AA106&gt;='추천_테스트'!$B$11,"적정",IF(AA106&gt;='추천_테스트'!$B$12,"소신","상향"))))</x:f>
        <x:v>안정</x:v>
      </x:c>
      <x:c r="AC106" s="62" t="n">
        <x:v>100</x:v>
      </x:c>
      <x:c r="AD106" s="62"/>
      <x:c r="AE106" s="62"/>
      <x:c r="AF106" s="41" t="str">
        <x:v>B: 공식 과목별 70% 백분위 → 단순평균 파생</x:v>
      </x:c>
      <x:c r="AG106" s="41" t="str">
        <x:v>https://www.adiga.kr/ucp/uvt/uni/univDetailSelection.do?menuId=PCUVTINF2000&amp;searchSyr=2026&amp;unvCd=0000027</x:v>
      </x:c>
    </x:row>
    <x:row r="107">
      <x:c r="A107" s="40" t="n">
        <x:v>2025</x:v>
      </x:c>
      <x:c r="B107" s="40" t="str">
        <x:v>제주특별자치도</x:v>
      </x:c>
      <x:c r="C107" s="40" t="str">
        <x:v>국립</x:v>
      </x:c>
      <x:c r="D107" s="40" t="str">
        <x:v>제주대학교</x:v>
      </x:c>
      <x:c r="E107" s="40" t="str">
        <x:v>나</x:v>
      </x:c>
      <x:c r="F107" s="40" t="str">
        <x:v>일반학생</x:v>
      </x:c>
      <x:c r="G107" s="41" t="str">
        <x:v>철학과</x:v>
      </x:c>
      <x:c r="H107" s="40" t="n">
        <x:v>7</x:v>
      </x:c>
      <x:c r="I107" s="40" t="n">
        <x:v>2</x:v>
      </x:c>
      <x:c r="J107" s="40" t="n">
        <x:v>9</x:v>
      </x:c>
      <x:c r="K107" s="60" t="n">
        <x:v>5.33</x:v>
      </x:c>
      <x:c r="L107" s="40" t="n">
        <x:v>4</x:v>
      </x:c>
      <x:c r="M107" s="60" t="n">
        <x:v>640.5</x:v>
      </x:c>
      <x:c r="N107" s="60" t="n">
        <x:v>636.3</x:v>
      </x:c>
      <x:c r="O107" s="60" t="n">
        <x:v>1000</x:v>
      </x:c>
      <x:c r="P107" s="62" t="n">
        <x:v>62.6</x:v>
      </x:c>
      <x:c r="Q107" s="62" t="n">
        <x:v>30.8</x:v>
      </x:c>
      <x:c r="R107" s="62" t="n">
        <x:v>52</x:v>
      </x:c>
      <x:c r="S107" s="62" t="n">
        <x:v>55</x:v>
      </x:c>
      <x:c r="T107" s="62" t="n">
        <x:v>4</x:v>
      </x:c>
      <x:c r="U107" s="62" t="n">
        <x:v>3</x:v>
      </x:c>
      <x:c r="V107" s="60"/>
      <x:c r="W107" s="60" t="n">
        <x:f>IF(COUNT(P107:S107)&gt;=3,AVERAGE(P107:S107),"")</x:f>
        <x:v>50.1</x:v>
      </x:c>
      <x:c r="X107" s="60" t="n">
        <x:f>IF(V107&lt;&gt;"",V107,W107)</x:f>
        <x:v>50.1</x:v>
      </x:c>
      <x:c r="Y107" s="40" t="str">
        <x:f>IF(V107&lt;&gt;"","공식 70% 평균백분위",IF(W107&lt;&gt;"","파생 단순평균(참고)","비교불가"))</x:f>
        <x:v>파생 단순평균(참고)</x:v>
      </x:c>
      <x:c r="Z107" s="60" t="n">
        <x:f>'추천_테스트'!$B$8</x:f>
        <x:v>80</x:v>
      </x:c>
      <x:c r="AA107" s="60" t="n">
        <x:f>IF(X107="","",Z107-X107)</x:f>
        <x:v>29.9</x:v>
      </x:c>
      <x:c r="AB107" s="40" t="str">
        <x:f>IF(X107="","",IF(AA107&gt;='추천_테스트'!$B$10,"안정",IF(AA107&gt;='추천_테스트'!$B$11,"적정",IF(AA107&gt;='추천_테스트'!$B$12,"소신","상향"))))</x:f>
        <x:v>안정</x:v>
      </x:c>
      <x:c r="AC107" s="62" t="n">
        <x:v>77.8</x:v>
      </x:c>
      <x:c r="AD107" s="62" t="n">
        <x:v>22.2</x:v>
      </x:c>
      <x:c r="AE107" s="62"/>
      <x:c r="AF107" s="41" t="str">
        <x:v>B: 공식 과목별 70% 백분위 → 단순평균 파생</x:v>
      </x:c>
      <x:c r="AG107" s="41" t="str">
        <x:v>https://www.adiga.kr/ucp/uvt/uni/univDetailSelection.do?menuId=PCUVTINF2000&amp;searchSyr=2026&amp;unvCd=0000027</x:v>
      </x:c>
    </x:row>
    <x:row r="108">
      <x:c r="A108" s="40" t="n">
        <x:v>2025</x:v>
      </x:c>
      <x:c r="B108" s="40" t="str">
        <x:v>제주특별자치도</x:v>
      </x:c>
      <x:c r="C108" s="40" t="str">
        <x:v>국립</x:v>
      </x:c>
      <x:c r="D108" s="40" t="str">
        <x:v>제주대학교</x:v>
      </x:c>
      <x:c r="E108" s="40" t="str">
        <x:v>나</x:v>
      </x:c>
      <x:c r="F108" s="40" t="str">
        <x:v>일반학생</x:v>
      </x:c>
      <x:c r="G108" s="41" t="str">
        <x:v>행정학과</x:v>
      </x:c>
      <x:c r="H108" s="40" t="n">
        <x:v>14</x:v>
      </x:c>
      <x:c r="I108" s="40" t="n">
        <x:v>1</x:v>
      </x:c>
      <x:c r="J108" s="40" t="n">
        <x:v>15</x:v>
      </x:c>
      <x:c r="K108" s="60" t="n">
        <x:v>3.27</x:v>
      </x:c>
      <x:c r="L108" s="40" t="n">
        <x:v>10</x:v>
      </x:c>
      <x:c r="M108" s="60" t="n">
        <x:v>740.5</x:v>
      </x:c>
      <x:c r="N108" s="60" t="n">
        <x:v>709.56</x:v>
      </x:c>
      <x:c r="O108" s="60" t="n">
        <x:v>1000</x:v>
      </x:c>
      <x:c r="P108" s="62" t="n">
        <x:v>61</x:v>
      </x:c>
      <x:c r="Q108" s="62" t="n">
        <x:v>59</x:v>
      </x:c>
      <x:c r="R108" s="62" t="n">
        <x:v>67</x:v>
      </x:c>
      <x:c r="S108" s="62" t="n">
        <x:v>64</x:v>
      </x:c>
      <x:c r="T108" s="62" t="n">
        <x:v>4</x:v>
      </x:c>
      <x:c r="U108" s="62" t="n">
        <x:v>2</x:v>
      </x:c>
      <x:c r="V108" s="60"/>
      <x:c r="W108" s="60" t="n">
        <x:f>IF(COUNT(P108:S108)&gt;=3,AVERAGE(P108:S108),"")</x:f>
        <x:v>62.75</x:v>
      </x:c>
      <x:c r="X108" s="60" t="n">
        <x:f>IF(V108&lt;&gt;"",V108,W108)</x:f>
        <x:v>62.75</x:v>
      </x:c>
      <x:c r="Y108" s="40" t="str">
        <x:f>IF(V108&lt;&gt;"","공식 70% 평균백분위",IF(W108&lt;&gt;"","파생 단순평균(참고)","비교불가"))</x:f>
        <x:v>파생 단순평균(참고)</x:v>
      </x:c>
      <x:c r="Z108" s="60" t="n">
        <x:f>'추천_테스트'!$B$8</x:f>
        <x:v>80</x:v>
      </x:c>
      <x:c r="AA108" s="60" t="n">
        <x:f>IF(X108="","",Z108-X108)</x:f>
        <x:v>17.25</x:v>
      </x:c>
      <x:c r="AB108" s="40" t="str">
        <x:f>IF(X108="","",IF(AA108&gt;='추천_테스트'!$B$10,"안정",IF(AA108&gt;='추천_테스트'!$B$11,"적정",IF(AA108&gt;='추천_테스트'!$B$12,"소신","상향"))))</x:f>
        <x:v>안정</x:v>
      </x:c>
      <x:c r="AC108" s="62" t="n">
        <x:v>73.3</x:v>
      </x:c>
      <x:c r="AD108" s="62" t="n">
        <x:v>26.7</x:v>
      </x:c>
      <x:c r="AE108" s="62"/>
      <x:c r="AF108" s="41" t="str">
        <x:v>B: 공식 과목별 70% 백분위 → 단순평균 파생</x:v>
      </x:c>
      <x:c r="AG108" s="41" t="str">
        <x:v>https://www.adiga.kr/ucp/uvt/uni/univDetailSelection.do?menuId=PCUVTINF2000&amp;searchSyr=2026&amp;unvCd=0000027</x:v>
      </x:c>
    </x:row>
    <x:row r="109">
      <x:c r="A109" s="40" t="n">
        <x:v>2025</x:v>
      </x:c>
      <x:c r="B109" s="40" t="str">
        <x:v>제주특별자치도</x:v>
      </x:c>
      <x:c r="C109" s="40" t="str">
        <x:v>국립</x:v>
      </x:c>
      <x:c r="D109" s="40" t="str">
        <x:v>제주대학교</x:v>
      </x:c>
      <x:c r="E109" s="40" t="str">
        <x:v>나</x:v>
      </x:c>
      <x:c r="F109" s="40" t="str">
        <x:v>일반학생</x:v>
      </x:c>
      <x:c r="G109" s="41" t="str">
        <x:v>경제학과</x:v>
      </x:c>
      <x:c r="H109" s="40" t="n">
        <x:v>11</x:v>
      </x:c>
      <x:c r="I109" s="40" t="n">
        <x:v>2</x:v>
      </x:c>
      <x:c r="J109" s="40" t="n">
        <x:v>13</x:v>
      </x:c>
      <x:c r="K109" s="60" t="n">
        <x:v>3.31</x:v>
      </x:c>
      <x:c r="L109" s="40" t="n">
        <x:v>13</x:v>
      </x:c>
      <x:c r="M109" s="60" t="n">
        <x:v>694</x:v>
      </x:c>
      <x:c r="N109" s="60" t="n">
        <x:v>679.78</x:v>
      </x:c>
      <x:c r="O109" s="60" t="n">
        <x:v>1000</x:v>
      </x:c>
      <x:c r="P109" s="62" t="n">
        <x:v>61</x:v>
      </x:c>
      <x:c r="Q109" s="62" t="n">
        <x:v>55.2</x:v>
      </x:c>
      <x:c r="R109" s="62" t="n">
        <x:v>63.6</x:v>
      </x:c>
      <x:c r="S109" s="62" t="n">
        <x:v>53.4</x:v>
      </x:c>
      <x:c r="T109" s="62" t="n">
        <x:v>4</x:v>
      </x:c>
      <x:c r="U109" s="62" t="n">
        <x:v>4.4</x:v>
      </x:c>
      <x:c r="V109" s="60"/>
      <x:c r="W109" s="60" t="n">
        <x:f>IF(COUNT(P109:S109)&gt;=3,AVERAGE(P109:S109),"")</x:f>
        <x:v>58.300000000000004</x:v>
      </x:c>
      <x:c r="X109" s="60" t="n">
        <x:f>IF(V109&lt;&gt;"",V109,W109)</x:f>
        <x:v>58.300000000000004</x:v>
      </x:c>
      <x:c r="Y109" s="40" t="str">
        <x:f>IF(V109&lt;&gt;"","공식 70% 평균백분위",IF(W109&lt;&gt;"","파생 단순평균(참고)","비교불가"))</x:f>
        <x:v>파생 단순평균(참고)</x:v>
      </x:c>
      <x:c r="Z109" s="60" t="n">
        <x:f>'추천_테스트'!$B$8</x:f>
        <x:v>80</x:v>
      </x:c>
      <x:c r="AA109" s="60" t="n">
        <x:f>IF(X109="","",Z109-X109)</x:f>
        <x:v>21.699999999999996</x:v>
      </x:c>
      <x:c r="AB109" s="40" t="str">
        <x:f>IF(X109="","",IF(AA109&gt;='추천_테스트'!$B$10,"안정",IF(AA109&gt;='추천_테스트'!$B$11,"적정",IF(AA109&gt;='추천_테스트'!$B$12,"소신","상향"))))</x:f>
        <x:v>안정</x:v>
      </x:c>
      <x:c r="AC109" s="62" t="n">
        <x:v>76.9</x:v>
      </x:c>
      <x:c r="AD109" s="62" t="n">
        <x:v>15.4</x:v>
      </x:c>
      <x:c r="AE109" s="62" t="n">
        <x:v>7.7</x:v>
      </x:c>
      <x:c r="AF109" s="41" t="str">
        <x:v>B: 공식 과목별 70% 백분위 → 단순평균 파생</x:v>
      </x:c>
      <x:c r="AG109" s="41" t="str">
        <x:v>https://www.adiga.kr/ucp/uvt/uni/univDetailSelection.do?menuId=PCUVTINF2000&amp;searchSyr=2026&amp;unvCd=0000027</x:v>
      </x:c>
    </x:row>
    <x:row r="110">
      <x:c r="A110" s="40" t="n">
        <x:v>2025</x:v>
      </x:c>
      <x:c r="B110" s="40" t="str">
        <x:v>대전광역시</x:v>
      </x:c>
      <x:c r="C110" s="40" t="str">
        <x:v>국립</x:v>
      </x:c>
      <x:c r="D110" s="40" t="str">
        <x:v>충남대학교</x:v>
      </x:c>
      <x:c r="E110" s="40" t="str">
        <x:v>가</x:v>
      </x:c>
      <x:c r="F110" s="40" t="str">
        <x:v>일반전형</x:v>
      </x:c>
      <x:c r="G110" s="41" t="str">
        <x:v>사회학과</x:v>
      </x:c>
      <x:c r="H110" s="40" t="n">
        <x:v>3</x:v>
      </x:c>
      <x:c r="I110" s="40" t="n">
        <x:v>1</x:v>
      </x:c>
      <x:c r="J110" s="40" t="n">
        <x:v>4</x:v>
      </x:c>
      <x:c r="K110" s="60" t="n">
        <x:v>6.75</x:v>
      </x:c>
      <x:c r="L110" s="40" t="n">
        <x:v>3</x:v>
      </x:c>
      <x:c r="M110" s="60" t="n">
        <x:v>170.94</x:v>
      </x:c>
      <x:c r="N110" s="60" t="n">
        <x:v>170.72</x:v>
      </x:c>
      <x:c r="O110" s="60" t="n">
        <x:v>300</x:v>
      </x:c>
      <x:c r="P110" s="62" t="n">
        <x:v>77</x:v>
      </x:c>
      <x:c r="Q110" s="62" t="n">
        <x:v>63</x:v>
      </x:c>
      <x:c r="R110" s="62" t="n">
        <x:v>87</x:v>
      </x:c>
      <x:c r="S110" s="62" t="n">
        <x:v>64</x:v>
      </x:c>
      <x:c r="T110" s="62" t="n">
        <x:v>2</x:v>
      </x:c>
      <x:c r="U110" s="62" t="n">
        <x:v>6</x:v>
      </x:c>
      <x:c r="V110" s="60"/>
      <x:c r="W110" s="60" t="n">
        <x:f>IF(COUNT(P110:S110)&gt;=3,AVERAGE(P110:S110),"")</x:f>
        <x:v>72.75</x:v>
      </x:c>
      <x:c r="X110" s="60" t="n">
        <x:f>IF(V110&lt;&gt;"",V110,W110)</x:f>
        <x:v>72.75</x:v>
      </x:c>
      <x:c r="Y110" s="40" t="str">
        <x:f>IF(V110&lt;&gt;"","공식 70% 평균백분위",IF(W110&lt;&gt;"","파생 단순평균(참고)","비교불가"))</x:f>
        <x:v>파생 단순평균(참고)</x:v>
      </x:c>
      <x:c r="Z110" s="60" t="n">
        <x:f>'추천_테스트'!$B$8</x:f>
        <x:v>80</x:v>
      </x:c>
      <x:c r="AA110" s="60" t="n">
        <x:f>IF(X110="","",Z110-X110)</x:f>
        <x:v>7.25</x:v>
      </x:c>
      <x:c r="AB110" s="40" t="str">
        <x:f>IF(X110="","",IF(AA110&gt;='추천_테스트'!$B$10,"안정",IF(AA110&gt;='추천_테스트'!$B$11,"적정",IF(AA110&gt;='추천_테스트'!$B$12,"소신","상향"))))</x:f>
        <x:v>안정</x:v>
      </x:c>
      <x:c r="AC110" s="62" t="n">
        <x:v>75</x:v>
      </x:c>
      <x:c r="AD110" s="62" t="n">
        <x:v>25</x:v>
      </x:c>
      <x:c r="AE110" s="62" t="n">
        <x:v>0</x:v>
      </x:c>
      <x:c r="AF110" s="41" t="str">
        <x:v>B: 공식 과목별 70% 백분위 → 단순평균 파생</x:v>
      </x:c>
      <x:c r="AG110" s="41" t="str">
        <x:v>https://www.adiga.kr/ucp/uvt/uni/univDetailSelection.do?menuId=PCUVTINF2000&amp;searchSyr=2026&amp;unvCd=0000029</x:v>
      </x:c>
    </x:row>
    <x:row r="111">
      <x:c r="A111" s="40" t="n">
        <x:v>2025</x:v>
      </x:c>
      <x:c r="B111" s="40" t="str">
        <x:v>대전광역시</x:v>
      </x:c>
      <x:c r="C111" s="40" t="str">
        <x:v>국립</x:v>
      </x:c>
      <x:c r="D111" s="40" t="str">
        <x:v>충남대학교</x:v>
      </x:c>
      <x:c r="E111" s="40" t="str">
        <x:v>가</x:v>
      </x:c>
      <x:c r="F111" s="40" t="str">
        <x:v>일반전형</x:v>
      </x:c>
      <x:c r="G111" s="41" t="str">
        <x:v>문헌정보학과</x:v>
      </x:c>
      <x:c r="H111" s="40" t="n">
        <x:v>3</x:v>
      </x:c>
      <x:c r="I111" s="40" t="n">
        <x:v>0</x:v>
      </x:c>
      <x:c r="J111" s="40" t="n">
        <x:v>3</x:v>
      </x:c>
      <x:c r="K111" s="60" t="n">
        <x:v>12</x:v>
      </x:c>
      <x:c r="L111" s="40" t="n">
        <x:v>4</x:v>
      </x:c>
      <x:c r="M111" s="60" t="n">
        <x:v>174.58</x:v>
      </x:c>
      <x:c r="N111" s="60" t="n">
        <x:v>174</x:v>
      </x:c>
      <x:c r="O111" s="60" t="n">
        <x:v>300</x:v>
      </x:c>
      <x:c r="P111" s="62" t="n">
        <x:v>80</x:v>
      </x:c>
      <x:c r="Q111" s="62" t="n">
        <x:v>78</x:v>
      </x:c>
      <x:c r="R111" s="62" t="n">
        <x:v>92</x:v>
      </x:c>
      <x:c r="S111" s="62" t="n">
        <x:v>80</x:v>
      </x:c>
      <x:c r="T111" s="62" t="n">
        <x:v>3</x:v>
      </x:c>
      <x:c r="U111" s="62" t="n">
        <x:v>2</x:v>
      </x:c>
      <x:c r="V111" s="60"/>
      <x:c r="W111" s="60" t="n">
        <x:f>IF(COUNT(P111:S111)&gt;=3,AVERAGE(P111:S111),"")</x:f>
        <x:v>82.5</x:v>
      </x:c>
      <x:c r="X111" s="60" t="n">
        <x:f>IF(V111&lt;&gt;"",V111,W111)</x:f>
        <x:v>82.5</x:v>
      </x:c>
      <x:c r="Y111" s="40" t="str">
        <x:f>IF(V111&lt;&gt;"","공식 70% 평균백분위",IF(W111&lt;&gt;"","파생 단순평균(참고)","비교불가"))</x:f>
        <x:v>파생 단순평균(참고)</x:v>
      </x:c>
      <x:c r="Z111" s="60" t="n">
        <x:f>'추천_테스트'!$B$8</x:f>
        <x:v>80</x:v>
      </x:c>
      <x:c r="AA111" s="60" t="n">
        <x:f>IF(X111="","",Z111-X111)</x:f>
        <x:v>-2.5</x:v>
      </x:c>
      <x:c r="AB111" s="40" t="str">
        <x:f>IF(X111="","",IF(AA111&gt;='추천_테스트'!$B$10,"안정",IF(AA111&gt;='추천_테스트'!$B$11,"적정",IF(AA111&gt;='추천_테스트'!$B$12,"소신","상향"))))</x:f>
        <x:v>상향</x:v>
      </x:c>
      <x:c r="AC111" s="62" t="n">
        <x:v>66.7</x:v>
      </x:c>
      <x:c r="AD111" s="62" t="n">
        <x:v>33.3</x:v>
      </x:c>
      <x:c r="AE111" s="62" t="n">
        <x:v>0</x:v>
      </x:c>
      <x:c r="AF111" s="41" t="str">
        <x:v>B: 공식 과목별 70% 백분위 → 단순평균 파생</x:v>
      </x:c>
      <x:c r="AG111" s="41" t="str">
        <x:v>https://www.adiga.kr/ucp/uvt/uni/univDetailSelection.do?menuId=PCUVTINF2000&amp;searchSyr=2026&amp;unvCd=0000029</x:v>
      </x:c>
    </x:row>
    <x:row r="112">
      <x:c r="A112" s="40" t="n">
        <x:v>2025</x:v>
      </x:c>
      <x:c r="B112" s="40" t="str">
        <x:v>대전광역시</x:v>
      </x:c>
      <x:c r="C112" s="40" t="str">
        <x:v>국립</x:v>
      </x:c>
      <x:c r="D112" s="40" t="str">
        <x:v>충남대학교</x:v>
      </x:c>
      <x:c r="E112" s="40" t="str">
        <x:v>가</x:v>
      </x:c>
      <x:c r="F112" s="40" t="str">
        <x:v>일반전형</x:v>
      </x:c>
      <x:c r="G112" s="41" t="str">
        <x:v>심리학과</x:v>
      </x:c>
      <x:c r="H112" s="40" t="n">
        <x:v>2</x:v>
      </x:c>
      <x:c r="I112" s="40" t="n">
        <x:v>1</x:v>
      </x:c>
      <x:c r="J112" s="40" t="n">
        <x:v>3</x:v>
      </x:c>
      <x:c r="K112" s="60" t="n">
        <x:v>8.33</x:v>
      </x:c>
      <x:c r="L112" s="40" t="n">
        <x:v>4</x:v>
      </x:c>
      <x:c r="M112" s="60" t="n">
        <x:v>180.95</x:v>
      </x:c>
      <x:c r="N112" s="60" t="n">
        <x:v>179.91</x:v>
      </x:c>
      <x:c r="O112" s="60" t="n">
        <x:v>300</x:v>
      </x:c>
      <x:c r="P112" s="62" t="n">
        <x:v>92</x:v>
      </x:c>
      <x:c r="Q112" s="62" t="n">
        <x:v>57</x:v>
      </x:c>
      <x:c r="R112" s="62" t="n">
        <x:v>93</x:v>
      </x:c>
      <x:c r="S112" s="62" t="n">
        <x:v>95</x:v>
      </x:c>
      <x:c r="T112" s="62" t="n">
        <x:v>2</x:v>
      </x:c>
      <x:c r="U112" s="62" t="n">
        <x:v>1</x:v>
      </x:c>
      <x:c r="V112" s="60"/>
      <x:c r="W112" s="60" t="n">
        <x:f>IF(COUNT(P112:S112)&gt;=3,AVERAGE(P112:S112),"")</x:f>
        <x:v>84.25</x:v>
      </x:c>
      <x:c r="X112" s="60" t="n">
        <x:f>IF(V112&lt;&gt;"",V112,W112)</x:f>
        <x:v>84.25</x:v>
      </x:c>
      <x:c r="Y112" s="40" t="str">
        <x:f>IF(V112&lt;&gt;"","공식 70% 평균백분위",IF(W112&lt;&gt;"","파생 단순평균(참고)","비교불가"))</x:f>
        <x:v>파생 단순평균(참고)</x:v>
      </x:c>
      <x:c r="Z112" s="60" t="n">
        <x:f>'추천_테스트'!$B$8</x:f>
        <x:v>80</x:v>
      </x:c>
      <x:c r="AA112" s="60" t="n">
        <x:f>IF(X112="","",Z112-X112)</x:f>
        <x:v>-4.25</x:v>
      </x:c>
      <x:c r="AB112" s="40" t="str">
        <x:f>IF(X112="","",IF(AA112&gt;='추천_테스트'!$B$10,"안정",IF(AA112&gt;='추천_테스트'!$B$11,"적정",IF(AA112&gt;='추천_테스트'!$B$12,"소신","상향"))))</x:f>
        <x:v>상향</x:v>
      </x:c>
      <x:c r="AC112" s="62" t="n">
        <x:v>100</x:v>
      </x:c>
      <x:c r="AD112" s="62" t="n">
        <x:v>0</x:v>
      </x:c>
      <x:c r="AE112" s="62" t="n">
        <x:v>0</x:v>
      </x:c>
      <x:c r="AF112" s="41" t="str">
        <x:v>B: 공식 과목별 70% 백분위 → 단순평균 파생</x:v>
      </x:c>
      <x:c r="AG112" s="41" t="str">
        <x:v>https://www.adiga.kr/ucp/uvt/uni/univDetailSelection.do?menuId=PCUVTINF2000&amp;searchSyr=2026&amp;unvCd=0000029</x:v>
      </x:c>
    </x:row>
    <x:row r="113">
      <x:c r="A113" s="40" t="n">
        <x:v>2025</x:v>
      </x:c>
      <x:c r="B113" s="40" t="str">
        <x:v>대전광역시</x:v>
      </x:c>
      <x:c r="C113" s="40" t="str">
        <x:v>국립</x:v>
      </x:c>
      <x:c r="D113" s="40" t="str">
        <x:v>충남대학교</x:v>
      </x:c>
      <x:c r="E113" s="40" t="str">
        <x:v>가</x:v>
      </x:c>
      <x:c r="F113" s="40" t="str">
        <x:v>일반전형</x:v>
      </x:c>
      <x:c r="G113" s="41" t="str">
        <x:v>언론정보학과</x:v>
      </x:c>
      <x:c r="H113" s="40" t="n">
        <x:v>4</x:v>
      </x:c>
      <x:c r="I113" s="40" t="n">
        <x:v>0</x:v>
      </x:c>
      <x:c r="J113" s="40" t="n">
        <x:v>4</x:v>
      </x:c>
      <x:c r="K113" s="60" t="n">
        <x:v>10.75</x:v>
      </x:c>
      <x:c r="L113" s="40" t="n">
        <x:v>4</x:v>
      </x:c>
      <x:c r="M113" s="60" t="n">
        <x:v>176.2</x:v>
      </x:c>
      <x:c r="N113" s="60" t="n">
        <x:v>174</x:v>
      </x:c>
      <x:c r="O113" s="60" t="n">
        <x:v>300</x:v>
      </x:c>
      <x:c r="P113" s="62" t="n">
        <x:v>82</x:v>
      </x:c>
      <x:c r="Q113" s="62" t="n">
        <x:v>78</x:v>
      </x:c>
      <x:c r="R113" s="62" t="n">
        <x:v>97</x:v>
      </x:c>
      <x:c r="S113" s="62" t="n">
        <x:v>89</x:v>
      </x:c>
      <x:c r="T113" s="62" t="n">
        <x:v>2</x:v>
      </x:c>
      <x:c r="U113" s="62" t="n">
        <x:v>1</x:v>
      </x:c>
      <x:c r="V113" s="60"/>
      <x:c r="W113" s="60" t="n">
        <x:f>IF(COUNT(P113:S113)&gt;=3,AVERAGE(P113:S113),"")</x:f>
        <x:v>86.5</x:v>
      </x:c>
      <x:c r="X113" s="60" t="n">
        <x:f>IF(V113&lt;&gt;"",V113,W113)</x:f>
        <x:v>86.5</x:v>
      </x:c>
      <x:c r="Y113" s="40" t="str">
        <x:f>IF(V113&lt;&gt;"","공식 70% 평균백분위",IF(W113&lt;&gt;"","파생 단순평균(참고)","비교불가"))</x:f>
        <x:v>파생 단순평균(참고)</x:v>
      </x:c>
      <x:c r="Z113" s="60" t="n">
        <x:f>'추천_테스트'!$B$8</x:f>
        <x:v>80</x:v>
      </x:c>
      <x:c r="AA113" s="60" t="n">
        <x:f>IF(X113="","",Z113-X113)</x:f>
        <x:v>-6.5</x:v>
      </x:c>
      <x:c r="AB113" s="40" t="str">
        <x:f>IF(X113="","",IF(AA113&gt;='추천_테스트'!$B$10,"안정",IF(AA113&gt;='추천_테스트'!$B$11,"적정",IF(AA113&gt;='추천_테스트'!$B$12,"소신","상향"))))</x:f>
        <x:v>상향</x:v>
      </x:c>
      <x:c r="AC113" s="62" t="n">
        <x:v>100</x:v>
      </x:c>
      <x:c r="AD113" s="62" t="n">
        <x:v>0</x:v>
      </x:c>
      <x:c r="AE113" s="62" t="n">
        <x:v>0</x:v>
      </x:c>
      <x:c r="AF113" s="41" t="str">
        <x:v>B: 공식 과목별 70% 백분위 → 단순평균 파생</x:v>
      </x:c>
      <x:c r="AG113" s="41" t="str">
        <x:v>https://www.adiga.kr/ucp/uvt/uni/univDetailSelection.do?menuId=PCUVTINF2000&amp;searchSyr=2026&amp;unvCd=0000029</x:v>
      </x:c>
    </x:row>
    <x:row r="114">
      <x:c r="A114" s="40" t="n">
        <x:v>2025</x:v>
      </x:c>
      <x:c r="B114" s="40" t="str">
        <x:v>대전광역시</x:v>
      </x:c>
      <x:c r="C114" s="40" t="str">
        <x:v>국립</x:v>
      </x:c>
      <x:c r="D114" s="40" t="str">
        <x:v>충남대학교</x:v>
      </x:c>
      <x:c r="E114" s="40" t="str">
        <x:v>가</x:v>
      </x:c>
      <x:c r="F114" s="40" t="str">
        <x:v>일반전형</x:v>
      </x:c>
      <x:c r="G114" s="41" t="str">
        <x:v>사회복지학과</x:v>
      </x:c>
      <x:c r="H114" s="40" t="n">
        <x:v>3</x:v>
      </x:c>
      <x:c r="I114" s="40" t="n">
        <x:v>0</x:v>
      </x:c>
      <x:c r="J114" s="40" t="n">
        <x:v>3</x:v>
      </x:c>
      <x:c r="K114" s="60" t="n">
        <x:v>9.33</x:v>
      </x:c>
      <x:c r="L114" s="40" t="n">
        <x:v>5</x:v>
      </x:c>
      <x:c r="M114" s="60" t="n">
        <x:v>171.35</x:v>
      </x:c>
      <x:c r="N114" s="60" t="n">
        <x:v>170.85</x:v>
      </x:c>
      <x:c r="O114" s="60" t="n">
        <x:v>300</x:v>
      </x:c>
      <x:c r="P114" s="62" t="n">
        <x:v>74</x:v>
      </x:c>
      <x:c r="Q114" s="62" t="n">
        <x:v>66</x:v>
      </x:c>
      <x:c r="R114" s="62" t="n">
        <x:v>95</x:v>
      </x:c>
      <x:c r="S114" s="62" t="n">
        <x:v>82</x:v>
      </x:c>
      <x:c r="T114" s="62" t="n">
        <x:v>3</x:v>
      </x:c>
      <x:c r="U114" s="62" t="n">
        <x:v>1</x:v>
      </x:c>
      <x:c r="V114" s="60"/>
      <x:c r="W114" s="60" t="n">
        <x:f>IF(COUNT(P114:S114)&gt;=3,AVERAGE(P114:S114),"")</x:f>
        <x:v>79.25</x:v>
      </x:c>
      <x:c r="X114" s="60" t="n">
        <x:f>IF(V114&lt;&gt;"",V114,W114)</x:f>
        <x:v>79.25</x:v>
      </x:c>
      <x:c r="Y114" s="40" t="str">
        <x:f>IF(V114&lt;&gt;"","공식 70% 평균백분위",IF(W114&lt;&gt;"","파생 단순평균(참고)","비교불가"))</x:f>
        <x:v>파생 단순평균(참고)</x:v>
      </x:c>
      <x:c r="Z114" s="60" t="n">
        <x:f>'추천_테스트'!$B$8</x:f>
        <x:v>80</x:v>
      </x:c>
      <x:c r="AA114" s="60" t="n">
        <x:f>IF(X114="","",Z114-X114)</x:f>
        <x:v>0.75</x:v>
      </x:c>
      <x:c r="AB114" s="40" t="str">
        <x:f>IF(X114="","",IF(AA114&gt;='추천_테스트'!$B$10,"안정",IF(AA114&gt;='추천_테스트'!$B$11,"적정",IF(AA114&gt;='추천_테스트'!$B$12,"소신","상향"))))</x:f>
        <x:v>소신</x:v>
      </x:c>
      <x:c r="AC114" s="62" t="n">
        <x:v>100</x:v>
      </x:c>
      <x:c r="AD114" s="62" t="n">
        <x:v>0</x:v>
      </x:c>
      <x:c r="AE114" s="62" t="n">
        <x:v>0</x:v>
      </x:c>
      <x:c r="AF114" s="41" t="str">
        <x:v>B: 공식 과목별 70% 백분위 → 단순평균 파생</x:v>
      </x:c>
      <x:c r="AG114" s="41" t="str">
        <x:v>https://www.adiga.kr/ucp/uvt/uni/univDetailSelection.do?menuId=PCUVTINF2000&amp;searchSyr=2026&amp;unvCd=0000029</x:v>
      </x:c>
    </x:row>
    <x:row r="115">
      <x:c r="A115" s="40" t="n">
        <x:v>2025</x:v>
      </x:c>
      <x:c r="B115" s="40" t="str">
        <x:v>대전광역시</x:v>
      </x:c>
      <x:c r="C115" s="40" t="str">
        <x:v>국립</x:v>
      </x:c>
      <x:c r="D115" s="40" t="str">
        <x:v>충남대학교</x:v>
      </x:c>
      <x:c r="E115" s="40" t="str">
        <x:v>가</x:v>
      </x:c>
      <x:c r="F115" s="40" t="str">
        <x:v>일반전형</x:v>
      </x:c>
      <x:c r="G115" s="41" t="str">
        <x:v>행정학부</x:v>
      </x:c>
      <x:c r="H115" s="40" t="n">
        <x:v>10</x:v>
      </x:c>
      <x:c r="I115" s="40" t="n">
        <x:v>0</x:v>
      </x:c>
      <x:c r="J115" s="40" t="n">
        <x:v>10</x:v>
      </x:c>
      <x:c r="K115" s="60" t="n">
        <x:v>8.5</x:v>
      </x:c>
      <x:c r="L115" s="40" t="n">
        <x:v>9</x:v>
      </x:c>
      <x:c r="M115" s="60" t="n">
        <x:v>178.16</x:v>
      </x:c>
      <x:c r="N115" s="60" t="n">
        <x:v>175.39</x:v>
      </x:c>
      <x:c r="O115" s="60" t="n">
        <x:v>300</x:v>
      </x:c>
      <x:c r="P115" s="62" t="n">
        <x:v>77</x:v>
      </x:c>
      <x:c r="Q115" s="62" t="n">
        <x:v>62</x:v>
      </x:c>
      <x:c r="R115" s="62" t="n">
        <x:v>99</x:v>
      </x:c>
      <x:c r="S115" s="62" t="n">
        <x:v>93</x:v>
      </x:c>
      <x:c r="T115" s="62" t="n">
        <x:v>2</x:v>
      </x:c>
      <x:c r="U115" s="62" t="n">
        <x:v>2</x:v>
      </x:c>
      <x:c r="V115" s="60"/>
      <x:c r="W115" s="60" t="n">
        <x:f>IF(COUNT(P115:S115)&gt;=3,AVERAGE(P115:S115),"")</x:f>
        <x:v>82.75</x:v>
      </x:c>
      <x:c r="X115" s="60" t="n">
        <x:f>IF(V115&lt;&gt;"",V115,W115)</x:f>
        <x:v>82.75</x:v>
      </x:c>
      <x:c r="Y115" s="40" t="str">
        <x:f>IF(V115&lt;&gt;"","공식 70% 평균백분위",IF(W115&lt;&gt;"","파생 단순평균(참고)","비교불가"))</x:f>
        <x:v>파생 단순평균(참고)</x:v>
      </x:c>
      <x:c r="Z115" s="60" t="n">
        <x:f>'추천_테스트'!$B$8</x:f>
        <x:v>80</x:v>
      </x:c>
      <x:c r="AA115" s="60" t="n">
        <x:f>IF(X115="","",Z115-X115)</x:f>
        <x:v>-2.75</x:v>
      </x:c>
      <x:c r="AB115" s="40" t="str">
        <x:f>IF(X115="","",IF(AA115&gt;='추천_테스트'!$B$10,"안정",IF(AA115&gt;='추천_테스트'!$B$11,"적정",IF(AA115&gt;='추천_테스트'!$B$12,"소신","상향"))))</x:f>
        <x:v>상향</x:v>
      </x:c>
      <x:c r="AC115" s="62" t="n">
        <x:v>80</x:v>
      </x:c>
      <x:c r="AD115" s="62" t="n">
        <x:v>20</x:v>
      </x:c>
      <x:c r="AE115" s="62" t="n">
        <x:v>0</x:v>
      </x:c>
      <x:c r="AF115" s="41" t="str">
        <x:v>B: 공식 과목별 70% 백분위 → 단순평균 파생</x:v>
      </x:c>
      <x:c r="AG115" s="41" t="str">
        <x:v>https://www.adiga.kr/ucp/uvt/uni/univDetailSelection.do?menuId=PCUVTINF2000&amp;searchSyr=2026&amp;unvCd=0000029</x:v>
      </x:c>
    </x:row>
    <x:row r="116">
      <x:c r="A116" s="40" t="n">
        <x:v>2025</x:v>
      </x:c>
      <x:c r="B116" s="40" t="str">
        <x:v>경기도</x:v>
      </x:c>
      <x:c r="C116" s="40" t="str">
        <x:v>사립</x:v>
      </x:c>
      <x:c r="D116" s="40" t="str">
        <x:v>아주대학교</x:v>
      </x:c>
      <x:c r="E116" s="40" t="str">
        <x:v>나</x:v>
      </x:c>
      <x:c r="F116" s="40" t="str">
        <x:v>일반전형</x:v>
      </x:c>
      <x:c r="G116" s="41" t="str">
        <x:v>의학과</x:v>
      </x:c>
      <x:c r="H116" s="40" t="n">
        <x:v>50</x:v>
      </x:c>
      <x:c r="I116" s="40" t="n">
        <x:v>0</x:v>
      </x:c>
      <x:c r="J116" s="40" t="n">
        <x:v>50</x:v>
      </x:c>
      <x:c r="K116" s="60" t="n">
        <x:v>3.2</x:v>
      </x:c>
      <x:c r="L116" s="40" t="n">
        <x:v>5</x:v>
      </x:c>
      <x:c r="M116" s="60" t="n">
        <x:v>999.93</x:v>
      </x:c>
      <x:c r="N116" s="60" t="n">
        <x:v>999.45</x:v>
      </x:c>
      <x:c r="O116" s="60" t="n">
        <x:v>1021</x:v>
      </x:c>
      <x:c r="P116" s="62" t="n">
        <x:v>99</x:v>
      </x:c>
      <x:c r="Q116" s="62" t="n">
        <x:v>100</x:v>
      </x:c>
      <x:c r="R116" s="62" t="n">
        <x:v>100</x:v>
      </x:c>
      <x:c r="S116" s="62" t="n">
        <x:v>92</x:v>
      </x:c>
      <x:c r="T116" s="62" t="n">
        <x:v>2</x:v>
      </x:c>
      <x:c r="U116" s="62" t="n">
        <x:v>1</x:v>
      </x:c>
      <x:c r="V116" s="60"/>
      <x:c r="W116" s="60" t="n">
        <x:f>IF(COUNT(P116:S116)&gt;=3,AVERAGE(P116:S116),"")</x:f>
        <x:v>97.75</x:v>
      </x:c>
      <x:c r="X116" s="60" t="n">
        <x:f>IF(V116&lt;&gt;"",V116,W116)</x:f>
        <x:v>97.75</x:v>
      </x:c>
      <x:c r="Y116" s="40" t="str">
        <x:f>IF(V116&lt;&gt;"","공식 70% 평균백분위",IF(W116&lt;&gt;"","파생 단순평균(참고)","비교불가"))</x:f>
        <x:v>파생 단순평균(참고)</x:v>
      </x:c>
      <x:c r="Z116" s="60" t="n">
        <x:f>'추천_테스트'!$B$8</x:f>
        <x:v>80</x:v>
      </x:c>
      <x:c r="AA116" s="60" t="n">
        <x:f>IF(X116="","",Z116-X116)</x:f>
        <x:v>-17.75</x:v>
      </x:c>
      <x:c r="AB116" s="40" t="str">
        <x:f>IF(X116="","",IF(AA116&gt;='추천_테스트'!$B$10,"안정",IF(AA116&gt;='추천_테스트'!$B$11,"적정",IF(AA116&gt;='추천_테스트'!$B$12,"소신","상향"))))</x:f>
        <x:v>상향</x:v>
      </x:c>
      <x:c r="AC116" s="62" t="n">
        <x:v>0</x:v>
      </x:c>
      <x:c r="AD116" s="62" t="n">
        <x:v>96</x:v>
      </x:c>
      <x:c r="AE116" s="62" t="n">
        <x:v>4</x:v>
      </x:c>
      <x:c r="AF116" s="41" t="str">
        <x:v>B: 공식 과목별 70% 백분위 → 단순평균 파생</x:v>
      </x:c>
      <x:c r="AG116" s="41" t="str">
        <x:v>https://www.adiga.kr/ucp/uvt/uni/univDetailSelection.do?menuId=PCUVTINF2000&amp;searchSyr=2026&amp;unvCd=0000146</x:v>
      </x:c>
    </x:row>
    <x:row r="117">
      <x:c r="A117" s="40" t="n">
        <x:v>2025</x:v>
      </x:c>
      <x:c r="B117" s="40" t="str">
        <x:v>경기도</x:v>
      </x:c>
      <x:c r="C117" s="40" t="str">
        <x:v>사립</x:v>
      </x:c>
      <x:c r="D117" s="40" t="str">
        <x:v>아주대학교</x:v>
      </x:c>
      <x:c r="E117" s="40" t="str">
        <x:v>나</x:v>
      </x:c>
      <x:c r="F117" s="40" t="str">
        <x:v>일반전형</x:v>
      </x:c>
      <x:c r="G117" s="41" t="str">
        <x:v>약학과</x:v>
      </x:c>
      <x:c r="H117" s="40" t="n">
        <x:v>10</x:v>
      </x:c>
      <x:c r="I117" s="40" t="n">
        <x:v>0</x:v>
      </x:c>
      <x:c r="J117" s="40" t="n">
        <x:v>10</x:v>
      </x:c>
      <x:c r="K117" s="60" t="n">
        <x:v>8.7</x:v>
      </x:c>
      <x:c r="L117" s="40" t="n">
        <x:v>9</x:v>
      </x:c>
      <x:c r="M117" s="60" t="n">
        <x:v>980.94</x:v>
      </x:c>
      <x:c r="N117" s="60" t="n">
        <x:v>980.57</x:v>
      </x:c>
      <x:c r="O117" s="60" t="n">
        <x:v>1019.5</x:v>
      </x:c>
      <x:c r="P117" s="62" t="n">
        <x:v>89</x:v>
      </x:c>
      <x:c r="Q117" s="62" t="n">
        <x:v>100</x:v>
      </x:c>
      <x:c r="R117" s="62" t="n">
        <x:v>98</x:v>
      </x:c>
      <x:c r="S117" s="62" t="n">
        <x:v>88</x:v>
      </x:c>
      <x:c r="T117" s="62" t="n">
        <x:v>1</x:v>
      </x:c>
      <x:c r="U117" s="62" t="n">
        <x:v>2</x:v>
      </x:c>
      <x:c r="V117" s="60"/>
      <x:c r="W117" s="60" t="n">
        <x:f>IF(COUNT(P117:S117)&gt;=3,AVERAGE(P117:S117),"")</x:f>
        <x:v>93.75</x:v>
      </x:c>
      <x:c r="X117" s="60" t="n">
        <x:f>IF(V117&lt;&gt;"",V117,W117)</x:f>
        <x:v>93.75</x:v>
      </x:c>
      <x:c r="Y117" s="40" t="str">
        <x:f>IF(V117&lt;&gt;"","공식 70% 평균백분위",IF(W117&lt;&gt;"","파생 단순평균(참고)","비교불가"))</x:f>
        <x:v>파생 단순평균(참고)</x:v>
      </x:c>
      <x:c r="Z117" s="60" t="n">
        <x:f>'추천_테스트'!$B$8</x:f>
        <x:v>80</x:v>
      </x:c>
      <x:c r="AA117" s="60" t="n">
        <x:f>IF(X117="","",Z117-X117)</x:f>
        <x:v>-13.75</x:v>
      </x:c>
      <x:c r="AB117" s="40" t="str">
        <x:f>IF(X117="","",IF(AA117&gt;='추천_테스트'!$B$10,"안정",IF(AA117&gt;='추천_테스트'!$B$11,"적정",IF(AA117&gt;='추천_테스트'!$B$12,"소신","상향"))))</x:f>
        <x:v>상향</x:v>
      </x:c>
      <x:c r="AC117" s="62" t="n">
        <x:v>0</x:v>
      </x:c>
      <x:c r="AD117" s="62" t="n">
        <x:v>90</x:v>
      </x:c>
      <x:c r="AE117" s="62" t="n">
        <x:v>10</x:v>
      </x:c>
      <x:c r="AF117" s="41" t="str">
        <x:v>B: 공식 과목별 70% 백분위 → 단순평균 파생</x:v>
      </x:c>
      <x:c r="AG117" s="41" t="str">
        <x:v>https://www.adiga.kr/ucp/uvt/uni/univDetailSelection.do?menuId=PCUVTINF2000&amp;searchSyr=2026&amp;unvCd=0000146</x:v>
      </x:c>
    </x:row>
    <x:row r="118">
      <x:c r="A118" s="40" t="n">
        <x:v>2025</x:v>
      </x:c>
      <x:c r="B118" s="40" t="str">
        <x:v>경기도</x:v>
      </x:c>
      <x:c r="C118" s="40" t="str">
        <x:v>사립</x:v>
      </x:c>
      <x:c r="D118" s="40" t="str">
        <x:v>아주대학교</x:v>
      </x:c>
      <x:c r="E118" s="40" t="str">
        <x:v>나</x:v>
      </x:c>
      <x:c r="F118" s="40" t="str">
        <x:v>일반전형</x:v>
      </x:c>
      <x:c r="G118" s="41" t="str">
        <x:v>자유전공학부(자연)</x:v>
      </x:c>
      <x:c r="H118" s="40" t="n">
        <x:v>88</x:v>
      </x:c>
      <x:c r="I118" s="40" t="n">
        <x:v>1</x:v>
      </x:c>
      <x:c r="J118" s="40" t="n">
        <x:v>89</x:v>
      </x:c>
      <x:c r="K118" s="60" t="n">
        <x:v>4.2</x:v>
      </x:c>
      <x:c r="L118" s="40" t="n">
        <x:v>46</x:v>
      </x:c>
      <x:c r="M118" s="60" t="n">
        <x:v>906.76</x:v>
      </x:c>
      <x:c r="N118" s="60" t="n">
        <x:v>905.23</x:v>
      </x:c>
      <x:c r="O118" s="60" t="n">
        <x:v>1019.5</x:v>
      </x:c>
      <x:c r="P118" s="62" t="n">
        <x:v>77</x:v>
      </x:c>
      <x:c r="Q118" s="62" t="n">
        <x:v>95</x:v>
      </x:c>
      <x:c r="R118" s="62" t="n">
        <x:v>85</x:v>
      </x:c>
      <x:c r="S118" s="62" t="n">
        <x:v>80</x:v>
      </x:c>
      <x:c r="T118" s="62" t="n">
        <x:v>3</x:v>
      </x:c>
      <x:c r="U118" s="62" t="n">
        <x:v>2</x:v>
      </x:c>
      <x:c r="V118" s="60"/>
      <x:c r="W118" s="60" t="n">
        <x:f>IF(COUNT(P118:S118)&gt;=3,AVERAGE(P118:S118),"")</x:f>
        <x:v>84.25</x:v>
      </x:c>
      <x:c r="X118" s="60" t="n">
        <x:f>IF(V118&lt;&gt;"",V118,W118)</x:f>
        <x:v>84.25</x:v>
      </x:c>
      <x:c r="Y118" s="40" t="str">
        <x:f>IF(V118&lt;&gt;"","공식 70% 평균백분위",IF(W118&lt;&gt;"","파생 단순평균(참고)","비교불가"))</x:f>
        <x:v>파생 단순평균(참고)</x:v>
      </x:c>
      <x:c r="Z118" s="60" t="n">
        <x:f>'추천_테스트'!$B$8</x:f>
        <x:v>80</x:v>
      </x:c>
      <x:c r="AA118" s="60" t="n">
        <x:f>IF(X118="","",Z118-X118)</x:f>
        <x:v>-4.25</x:v>
      </x:c>
      <x:c r="AB118" s="40" t="str">
        <x:f>IF(X118="","",IF(AA118&gt;='추천_테스트'!$B$10,"안정",IF(AA118&gt;='추천_테스트'!$B$11,"적정",IF(AA118&gt;='추천_테스트'!$B$12,"소신","상향"))))</x:f>
        <x:v>상향</x:v>
      </x:c>
      <x:c r="AC118" s="62" t="n">
        <x:v>0</x:v>
      </x:c>
      <x:c r="AD118" s="62" t="n">
        <x:v>94.3</x:v>
      </x:c>
      <x:c r="AE118" s="62" t="n">
        <x:v>5.7</x:v>
      </x:c>
      <x:c r="AF118" s="41" t="str">
        <x:v>B: 공식 과목별 70% 백분위 → 단순평균 파생</x:v>
      </x:c>
      <x:c r="AG118" s="41" t="str">
        <x:v>https://www.adiga.kr/ucp/uvt/uni/univDetailSelection.do?menuId=PCUVTINF2000&amp;searchSyr=2026&amp;unvCd=0000146</x:v>
      </x:c>
    </x:row>
    <x:row r="119">
      <x:c r="A119" s="40" t="n">
        <x:v>2025</x:v>
      </x:c>
      <x:c r="B119" s="40" t="str">
        <x:v>경기도</x:v>
      </x:c>
      <x:c r="C119" s="40" t="str">
        <x:v>사립</x:v>
      </x:c>
      <x:c r="D119" s="40" t="str">
        <x:v>아주대학교</x:v>
      </x:c>
      <x:c r="E119" s="40" t="str">
        <x:v>나</x:v>
      </x:c>
      <x:c r="F119" s="40" t="str">
        <x:v>일반전형</x:v>
      </x:c>
      <x:c r="G119" s="41" t="str">
        <x:v>자유전공학부(인문)</x:v>
      </x:c>
      <x:c r="H119" s="40" t="n">
        <x:v>48</x:v>
      </x:c>
      <x:c r="I119" s="40" t="n">
        <x:v>0</x:v>
      </x:c>
      <x:c r="J119" s="40" t="n">
        <x:v>48</x:v>
      </x:c>
      <x:c r="K119" s="60" t="n">
        <x:v>4.7</x:v>
      </x:c>
      <x:c r="L119" s="40" t="n">
        <x:v>45</x:v>
      </x:c>
      <x:c r="M119" s="60" t="n">
        <x:v>894.99</x:v>
      </x:c>
      <x:c r="N119" s="60" t="n">
        <x:v>892.86</x:v>
      </x:c>
      <x:c r="O119" s="60" t="n">
        <x:v>1000</x:v>
      </x:c>
      <x:c r="P119" s="62" t="n">
        <x:v>99</x:v>
      </x:c>
      <x:c r="Q119" s="62" t="n">
        <x:v>74</x:v>
      </x:c>
      <x:c r="R119" s="62" t="n">
        <x:v>71</x:v>
      </x:c>
      <x:c r="S119" s="62" t="n">
        <x:v>65</x:v>
      </x:c>
      <x:c r="T119" s="62" t="n">
        <x:v>2</x:v>
      </x:c>
      <x:c r="U119" s="62" t="n">
        <x:v>1</x:v>
      </x:c>
      <x:c r="V119" s="60"/>
      <x:c r="W119" s="60" t="n">
        <x:f>IF(COUNT(P119:S119)&gt;=3,AVERAGE(P119:S119),"")</x:f>
        <x:v>77.25</x:v>
      </x:c>
      <x:c r="X119" s="60" t="n">
        <x:f>IF(V119&lt;&gt;"",V119,W119)</x:f>
        <x:v>77.25</x:v>
      </x:c>
      <x:c r="Y119" s="40" t="str">
        <x:f>IF(V119&lt;&gt;"","공식 70% 평균백분위",IF(W119&lt;&gt;"","파생 단순평균(참고)","비교불가"))</x:f>
        <x:v>파생 단순평균(참고)</x:v>
      </x:c>
      <x:c r="Z119" s="60" t="n">
        <x:f>'추천_테스트'!$B$8</x:f>
        <x:v>80</x:v>
      </x:c>
      <x:c r="AA119" s="60" t="n">
        <x:f>IF(X119="","",Z119-X119)</x:f>
        <x:v>2.75</x:v>
      </x:c>
      <x:c r="AB119" s="40" t="str">
        <x:f>IF(X119="","",IF(AA119&gt;='추천_테스트'!$B$10,"안정",IF(AA119&gt;='추천_테스트'!$B$11,"적정",IF(AA119&gt;='추천_테스트'!$B$12,"소신","상향"))))</x:f>
        <x:v>적정</x:v>
      </x:c>
      <x:c r="AC119" s="62" t="n">
        <x:v>14.9</x:v>
      </x:c>
      <x:c r="AD119" s="62" t="n">
        <x:v>85.1</x:v>
      </x:c>
      <x:c r="AE119" s="62" t="n">
        <x:v>0</x:v>
      </x:c>
      <x:c r="AF119" s="41" t="str">
        <x:v>B: 공식 과목별 70% 백분위 → 단순평균 파생</x:v>
      </x:c>
      <x:c r="AG119" s="41" t="str">
        <x:v>https://www.adiga.kr/ucp/uvt/uni/univDetailSelection.do?menuId=PCUVTINF2000&amp;searchSyr=2026&amp;unvCd=0000146</x:v>
      </x:c>
    </x:row>
    <x:row r="120">
      <x:c r="A120" s="40" t="n">
        <x:v>2025</x:v>
      </x:c>
      <x:c r="B120" s="40" t="str">
        <x:v>경기도</x:v>
      </x:c>
      <x:c r="C120" s="40" t="str">
        <x:v>사립</x:v>
      </x:c>
      <x:c r="D120" s="40" t="str">
        <x:v>아주대학교</x:v>
      </x:c>
      <x:c r="E120" s="40" t="str">
        <x:v>나</x:v>
      </x:c>
      <x:c r="F120" s="40" t="str">
        <x:v>일반전형</x:v>
      </x:c>
      <x:c r="G120" s="41" t="str">
        <x:v>국방디지털융합학과</x:v>
      </x:c>
      <x:c r="H120" s="40" t="n">
        <x:v>7</x:v>
      </x:c>
      <x:c r="I120" s="40" t="n">
        <x:v>0</x:v>
      </x:c>
      <x:c r="J120" s="40" t="n">
        <x:v>7</x:v>
      </x:c>
      <x:c r="K120" s="60" t="n">
        <x:v>3.1</x:v>
      </x:c>
      <x:c r="L120" s="40" t="n">
        <x:v>1</x:v>
      </x:c>
      <x:c r="M120" s="60" t="n">
        <x:v>907.58</x:v>
      </x:c>
      <x:c r="N120" s="60" t="n">
        <x:v>907.57</x:v>
      </x:c>
      <x:c r="O120" s="60" t="n">
        <x:v>1021</x:v>
      </x:c>
      <x:c r="P120" s="62" t="n">
        <x:v>77</x:v>
      </x:c>
      <x:c r="Q120" s="62" t="n">
        <x:v>93</x:v>
      </x:c>
      <x:c r="R120" s="62" t="n">
        <x:v>90</x:v>
      </x:c>
      <x:c r="S120" s="62" t="n">
        <x:v>75</x:v>
      </x:c>
      <x:c r="T120" s="62" t="n">
        <x:v>2</x:v>
      </x:c>
      <x:c r="U120" s="62" t="n">
        <x:v>3</x:v>
      </x:c>
      <x:c r="V120" s="60"/>
      <x:c r="W120" s="60" t="n">
        <x:f>IF(COUNT(P120:S120)&gt;=3,AVERAGE(P120:S120),"")</x:f>
        <x:v>83.75</x:v>
      </x:c>
      <x:c r="X120" s="60" t="n">
        <x:f>IF(V120&lt;&gt;"",V120,W120)</x:f>
        <x:v>83.75</x:v>
      </x:c>
      <x:c r="Y120" s="40" t="str">
        <x:f>IF(V120&lt;&gt;"","공식 70% 평균백분위",IF(W120&lt;&gt;"","파생 단순평균(참고)","비교불가"))</x:f>
        <x:v>파생 단순평균(참고)</x:v>
      </x:c>
      <x:c r="Z120" s="60" t="n">
        <x:f>'추천_테스트'!$B$8</x:f>
        <x:v>80</x:v>
      </x:c>
      <x:c r="AA120" s="60" t="n">
        <x:f>IF(X120="","",Z120-X120)</x:f>
        <x:v>-3.75</x:v>
      </x:c>
      <x:c r="AB120" s="40" t="str">
        <x:f>IF(X120="","",IF(AA120&gt;='추천_테스트'!$B$10,"안정",IF(AA120&gt;='추천_테스트'!$B$11,"적정",IF(AA120&gt;='추천_테스트'!$B$12,"소신","상향"))))</x:f>
        <x:v>상향</x:v>
      </x:c>
      <x:c r="AC120" s="62" t="n">
        <x:v>14.3</x:v>
      </x:c>
      <x:c r="AD120" s="62" t="n">
        <x:v>85.7</x:v>
      </x:c>
      <x:c r="AE120" s="62" t="n">
        <x:v>0</x:v>
      </x:c>
      <x:c r="AF120" s="41" t="str">
        <x:v>B: 공식 과목별 70% 백분위 → 단순평균 파생</x:v>
      </x:c>
      <x:c r="AG120" s="41" t="str">
        <x:v>https://www.adiga.kr/ucp/uvt/uni/univDetailSelection.do?menuId=PCUVTINF2000&amp;searchSyr=2026&amp;unvCd=0000146</x:v>
      </x:c>
    </x:row>
    <x:row r="121">
      <x:c r="A121" s="40" t="n">
        <x:v>2025</x:v>
      </x:c>
      <x:c r="B121" s="40" t="str">
        <x:v>경기도</x:v>
      </x:c>
      <x:c r="C121" s="40" t="str">
        <x:v>사립</x:v>
      </x:c>
      <x:c r="D121" s="40" t="str">
        <x:v>아주대학교</x:v>
      </x:c>
      <x:c r="E121" s="40" t="str">
        <x:v>다</x:v>
      </x:c>
      <x:c r="F121" s="40" t="str">
        <x:v>일반전형</x:v>
      </x:c>
      <x:c r="G121" s="41" t="str">
        <x:v>기계공학과</x:v>
      </x:c>
      <x:c r="H121" s="40" t="n">
        <x:v>32</x:v>
      </x:c>
      <x:c r="I121" s="40" t="n">
        <x:v>3</x:v>
      </x:c>
      <x:c r="J121" s="40" t="n">
        <x:v>35</x:v>
      </x:c>
      <x:c r="K121" s="60" t="n">
        <x:v>4.9</x:v>
      </x:c>
      <x:c r="L121" s="40" t="n">
        <x:v>34</x:v>
      </x:c>
      <x:c r="M121" s="60" t="n">
        <x:v>904.61</x:v>
      </x:c>
      <x:c r="N121" s="60" t="n">
        <x:v>902.19</x:v>
      </x:c>
      <x:c r="O121" s="60" t="n">
        <x:v>1019.5</x:v>
      </x:c>
      <x:c r="P121" s="62" t="n">
        <x:v>63</x:v>
      </x:c>
      <x:c r="Q121" s="62" t="n">
        <x:v>95</x:v>
      </x:c>
      <x:c r="R121" s="62" t="n">
        <x:v>90</x:v>
      </x:c>
      <x:c r="S121" s="62" t="n">
        <x:v>85</x:v>
      </x:c>
      <x:c r="T121" s="62" t="n">
        <x:v>3</x:v>
      </x:c>
      <x:c r="U121" s="62" t="n">
        <x:v>1</x:v>
      </x:c>
      <x:c r="V121" s="60"/>
      <x:c r="W121" s="60" t="n">
        <x:f>IF(COUNT(P121:S121)&gt;=3,AVERAGE(P121:S121),"")</x:f>
        <x:v>83.25</x:v>
      </x:c>
      <x:c r="X121" s="60" t="n">
        <x:f>IF(V121&lt;&gt;"",V121,W121)</x:f>
        <x:v>83.25</x:v>
      </x:c>
      <x:c r="Y121" s="40" t="str">
        <x:f>IF(V121&lt;&gt;"","공식 70% 평균백분위",IF(W121&lt;&gt;"","파생 단순평균(참고)","비교불가"))</x:f>
        <x:v>파생 단순평균(참고)</x:v>
      </x:c>
      <x:c r="Z121" s="60" t="n">
        <x:f>'추천_테스트'!$B$8</x:f>
        <x:v>80</x:v>
      </x:c>
      <x:c r="AA121" s="60" t="n">
        <x:f>IF(X121="","",Z121-X121)</x:f>
        <x:v>-3.25</x:v>
      </x:c>
      <x:c r="AB121" s="40" t="str">
        <x:f>IF(X121="","",IF(AA121&gt;='추천_테스트'!$B$10,"안정",IF(AA121&gt;='추천_테스트'!$B$11,"적정",IF(AA121&gt;='추천_테스트'!$B$12,"소신","상향"))))</x:f>
        <x:v>상향</x:v>
      </x:c>
      <x:c r="AC121" s="62" t="n">
        <x:v>0</x:v>
      </x:c>
      <x:c r="AD121" s="62" t="n">
        <x:v>94.3</x:v>
      </x:c>
      <x:c r="AE121" s="62" t="n">
        <x:v>5.7</x:v>
      </x:c>
      <x:c r="AF121" s="41" t="str">
        <x:v>B: 공식 과목별 70% 백분위 → 단순평균 파생</x:v>
      </x:c>
      <x:c r="AG121" s="41" t="str">
        <x:v>https://www.adiga.kr/ucp/uvt/uni/univDetailSelection.do?menuId=PCUVTINF2000&amp;searchSyr=2026&amp;unvCd=0000146</x:v>
      </x:c>
    </x:row>
    <x:row r="122">
      <x:c r="A122" s="40" t="n">
        <x:v>2025</x:v>
      </x:c>
      <x:c r="B122" s="40" t="str">
        <x:v>경기도</x:v>
      </x:c>
      <x:c r="C122" s="40" t="str">
        <x:v>사립</x:v>
      </x:c>
      <x:c r="D122" s="40" t="str">
        <x:v>아주대학교</x:v>
      </x:c>
      <x:c r="E122" s="40" t="str">
        <x:v>다</x:v>
      </x:c>
      <x:c r="F122" s="40" t="str">
        <x:v>일반전형</x:v>
      </x:c>
      <x:c r="G122" s="41" t="str">
        <x:v>산업공학과</x:v>
      </x:c>
      <x:c r="H122" s="40" t="n">
        <x:v>20</x:v>
      </x:c>
      <x:c r="I122" s="40" t="n">
        <x:v>0</x:v>
      </x:c>
      <x:c r="J122" s="40" t="n">
        <x:v>20</x:v>
      </x:c>
      <x:c r="K122" s="60" t="n">
        <x:v>5.1</x:v>
      </x:c>
      <x:c r="L122" s="40" t="n">
        <x:v>12</x:v>
      </x:c>
      <x:c r="M122" s="60" t="n">
        <x:v>904.85</x:v>
      </x:c>
      <x:c r="N122" s="60" t="n">
        <x:v>902.74</x:v>
      </x:c>
      <x:c r="O122" s="60" t="n">
        <x:v>1019.5</x:v>
      </x:c>
      <x:c r="P122" s="62" t="n">
        <x:v>67</x:v>
      </x:c>
      <x:c r="Q122" s="62" t="n">
        <x:v>85</x:v>
      </x:c>
      <x:c r="R122" s="62" t="n">
        <x:v>94</x:v>
      </x:c>
      <x:c r="S122" s="62" t="n">
        <x:v>85</x:v>
      </x:c>
      <x:c r="T122" s="62" t="n">
        <x:v>1</x:v>
      </x:c>
      <x:c r="U122" s="62" t="n">
        <x:v>1</x:v>
      </x:c>
      <x:c r="V122" s="60"/>
      <x:c r="W122" s="60" t="n">
        <x:f>IF(COUNT(P122:S122)&gt;=3,AVERAGE(P122:S122),"")</x:f>
        <x:v>82.75</x:v>
      </x:c>
      <x:c r="X122" s="60" t="n">
        <x:f>IF(V122&lt;&gt;"",V122,W122)</x:f>
        <x:v>82.75</x:v>
      </x:c>
      <x:c r="Y122" s="40" t="str">
        <x:f>IF(V122&lt;&gt;"","공식 70% 평균백분위",IF(W122&lt;&gt;"","파생 단순평균(참고)","비교불가"))</x:f>
        <x:v>파생 단순평균(참고)</x:v>
      </x:c>
      <x:c r="Z122" s="60" t="n">
        <x:f>'추천_테스트'!$B$8</x:f>
        <x:v>80</x:v>
      </x:c>
      <x:c r="AA122" s="60" t="n">
        <x:f>IF(X122="","",Z122-X122)</x:f>
        <x:v>-2.75</x:v>
      </x:c>
      <x:c r="AB122" s="40" t="str">
        <x:f>IF(X122="","",IF(AA122&gt;='추천_테스트'!$B$10,"안정",IF(AA122&gt;='추천_테스트'!$B$11,"적정",IF(AA122&gt;='추천_테스트'!$B$12,"소신","상향"))))</x:f>
        <x:v>상향</x:v>
      </x:c>
      <x:c r="AC122" s="62" t="n">
        <x:v>0</x:v>
      </x:c>
      <x:c r="AD122" s="62" t="n">
        <x:v>90</x:v>
      </x:c>
      <x:c r="AE122" s="62" t="n">
        <x:v>10</x:v>
      </x:c>
      <x:c r="AF122" s="41" t="str">
        <x:v>B: 공식 과목별 70% 백분위 → 단순평균 파생</x:v>
      </x:c>
      <x:c r="AG122" s="41" t="str">
        <x:v>https://www.adiga.kr/ucp/uvt/uni/univDetailSelection.do?menuId=PCUVTINF2000&amp;searchSyr=2026&amp;unvCd=0000146</x:v>
      </x:c>
    </x:row>
  </x:sheetData>
  <x:conditionalFormatting sqref="AB2:AB122">
    <x:cfRule type="expression" dxfId="0" priority="1">
      <x:formula>AB2="안정"</x:formula>
    </x:cfRule>
    <x:cfRule type="expression" dxfId="1" priority="2">
      <x:formula>AB2="적정"</x:formula>
    </x:cfRule>
    <x:cfRule type="expression" dxfId="2" priority="3">
      <x:formula>AB2="소신"</x:formula>
    </x:cfRule>
    <x:cfRule type="expression" dxfId="3" priority="4">
      <x:formula>AB2="상향"</x:formula>
    </x:cfRule>
  </x:conditionalFormatting>
  <x:conditionalFormatting sqref="AA2:AA122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{325BC8D4-1645-6AE5-7698-A70B301E5FF6}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2a7b7acef064d3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25BC8D4-1645-6AE5-7698-A70B301E5FF6}">
            <x14:dataBar gradient="1">
              <x14:cfvo type="min"/>
              <x14:cfvo type="max"/>
              <x14:fillColor rgb="FF5B9BD5"/>
            </x14:dataBar>
          </x14:cfRule>
          <xm:sqref>AA2:AA122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2" hidden="0" customWidth="1"/>
  </x:cols>
  <x:sheetData>
    <x:row r="1">
      <x:c r="A1" s="5" t="str">
        <x:v>대학별 수록 현황 및 추천기준 평균</x:v>
      </x:c>
      <x:c r="B1" s="5"/>
      <x:c r="C1" s="5"/>
      <x:c r="D1" s="5"/>
      <x:c r="E1" s="5"/>
      <x:c r="F1" s="5"/>
      <x:c r="G1" s="5"/>
      <x:c r="H1" s="5"/>
    </x:row>
    <x:row r="3">
      <x:c r="A3" s="23" t="str">
        <x:v>대학명</x:v>
      </x:c>
      <x:c r="B3" s="23" t="str">
        <x:v>지역</x:v>
      </x:c>
      <x:c r="C3" s="23" t="str">
        <x:v>설립</x:v>
      </x:c>
      <x:c r="D3" s="23" t="str">
        <x:v>수록 모집단위 수</x:v>
      </x:c>
      <x:c r="E3" s="23" t="str">
        <x:v>추천기준 평균</x:v>
      </x:c>
      <x:c r="F3" s="23" t="str">
        <x:v>공식 평균백분위 행 수</x:v>
      </x:c>
      <x:c r="G3" s="23" t="str">
        <x:v>파생 평균 행 수</x:v>
      </x:c>
      <x:c r="H3" s="23" t="str">
        <x:v>대표 출처URL</x:v>
      </x:c>
    </x:row>
    <x:row r="4">
      <x:c r="A4" s="18" t="str">
        <x:v>광주교육대학교</x:v>
      </x:c>
      <x:c r="B4" s="18" t="str">
        <x:v>광주광역시</x:v>
      </x:c>
      <x:c r="C4" s="18" t="str">
        <x:v>국립</x:v>
      </x:c>
      <x:c r="D4" s="18" t="n">
        <x:f>COUNTIF('정시입결_2025'!$D$2:$D$122,A4)</x:f>
        <x:v>1</x:v>
      </x:c>
      <x:c r="E4" s="66" t="n">
        <x:f>IFERROR(SUMIF('정시입결_2025'!$D$2:$D$122,A4,'정시입결_2025'!$X$2:$X$122)/D4,"")</x:f>
        <x:v>76.75</x:v>
      </x:c>
      <x:c r="F4" s="18" t="n">
        <x:f>COUNTIFS('정시입결_2025'!$D$2:$D$122,A4,'정시입결_2025'!$V$2:$V$122,"&gt;0")</x:f>
        <x:v>0</x:v>
      </x:c>
      <x:c r="G4" s="18" t="n">
        <x:f>D4-F4</x:f>
        <x:v>1</x:v>
      </x:c>
      <x:c r="H4" s="18" t="str">
        <x:v>https://www.adiga.kr/ucp/uvt/uni/univDetailSelection.do?menuId=PCUVTINF2000&amp;searchSyr=2026&amp;unvCd=0000252</x:v>
      </x:c>
    </x:row>
    <x:row r="5">
      <x:c r="A5" s="18" t="str">
        <x:v>부산대학교</x:v>
      </x:c>
      <x:c r="B5" s="18" t="str">
        <x:v>부산광역시</x:v>
      </x:c>
      <x:c r="C5" s="18" t="str">
        <x:v>국립</x:v>
      </x:c>
      <x:c r="D5" s="18" t="n">
        <x:f>COUNTIF('정시입결_2025'!$D$2:$D$122,A5)</x:f>
        <x:v>10</x:v>
      </x:c>
      <x:c r="E5" s="66" t="n">
        <x:f>IFERROR(SUMIF('정시입결_2025'!$D$2:$D$122,A5,'정시입결_2025'!$X$2:$X$122)/D5,"")</x:f>
        <x:v>82.2</x:v>
      </x:c>
      <x:c r="F5" s="18" t="n">
        <x:f>COUNTIFS('정시입결_2025'!$D$2:$D$122,A5,'정시입결_2025'!$V$2:$V$122,"&gt;0")</x:f>
        <x:v>0</x:v>
      </x:c>
      <x:c r="G5" s="18" t="n">
        <x:f>D5-F5</x:f>
        <x:v>10</x:v>
      </x:c>
      <x:c r="H5" s="18" t="str">
        <x:v>https://www.adiga.kr/ucp/uvt/uni/univDetailSelection.do?menuId=PCUVTINF2000&amp;searchSyr=2026&amp;unvCd=0000014</x:v>
      </x:c>
    </x:row>
    <x:row r="6">
      <x:c r="A6" s="18" t="str">
        <x:v>서울과학기술대학교</x:v>
      </x:c>
      <x:c r="B6" s="18" t="str">
        <x:v>서울특별시</x:v>
      </x:c>
      <x:c r="C6" s="18" t="str">
        <x:v>국립</x:v>
      </x:c>
      <x:c r="D6" s="18" t="n">
        <x:f>COUNTIF('정시입결_2025'!$D$2:$D$122,A6)</x:f>
        <x:v>41</x:v>
      </x:c>
      <x:c r="E6" s="66" t="n">
        <x:f>IFERROR(SUMIF('정시입결_2025'!$D$2:$D$122,A6,'정시입결_2025'!$X$2:$X$122)/D6,"")</x:f>
        <x:v>84.03463414634147</x:v>
      </x:c>
      <x:c r="F6" s="18" t="n">
        <x:f>COUNTIFS('정시입결_2025'!$D$2:$D$122,A6,'정시입결_2025'!$V$2:$V$122,"&gt;0")</x:f>
        <x:v>41</x:v>
      </x:c>
      <x:c r="G6" s="18" t="n">
        <x:f>D6-F6</x:f>
        <x:v>0</x:v>
      </x:c>
      <x:c r="H6" s="18" t="str">
        <x:v>https://www.adiga.kr/ucp/uvt/uni/univDetailSelection.do?menuId=PCUVTINF2000&amp;searchSyr=2026&amp;unvCd=0000036</x:v>
      </x:c>
    </x:row>
    <x:row r="7">
      <x:c r="A7" s="18" t="str">
        <x:v>아주대학교</x:v>
      </x:c>
      <x:c r="B7" s="18" t="str">
        <x:v>경기도</x:v>
      </x:c>
      <x:c r="C7" s="18" t="str">
        <x:v>사립</x:v>
      </x:c>
      <x:c r="D7" s="18" t="n">
        <x:f>COUNTIF('정시입결_2025'!$D$2:$D$122,A7)</x:f>
        <x:v>7</x:v>
      </x:c>
      <x:c r="E7" s="66" t="n">
        <x:f>IFERROR(SUMIF('정시입결_2025'!$D$2:$D$122,A7,'정시입결_2025'!$X$2:$X$122)/D7,"")</x:f>
        <x:v>86.10714285714286</x:v>
      </x:c>
      <x:c r="F7" s="18" t="n">
        <x:f>COUNTIFS('정시입결_2025'!$D$2:$D$122,A7,'정시입결_2025'!$V$2:$V$122,"&gt;0")</x:f>
        <x:v>0</x:v>
      </x:c>
      <x:c r="G7" s="18" t="n">
        <x:f>D7-F7</x:f>
        <x:v>7</x:v>
      </x:c>
      <x:c r="H7" s="18" t="str">
        <x:v>https://www.adiga.kr/ucp/uvt/uni/univDetailSelection.do?menuId=PCUVTINF2000&amp;searchSyr=2026&amp;unvCd=0000146</x:v>
      </x:c>
    </x:row>
    <x:row r="8">
      <x:c r="A8" s="18" t="str">
        <x:v>인하대학교</x:v>
      </x:c>
      <x:c r="B8" s="18" t="str">
        <x:v>인천광역시</x:v>
      </x:c>
      <x:c r="C8" s="18" t="str">
        <x:v>사립</x:v>
      </x:c>
      <x:c r="D8" s="18" t="n">
        <x:f>COUNTIF('정시입결_2025'!$D$2:$D$122,A8)</x:f>
        <x:v>13</x:v>
      </x:c>
      <x:c r="E8" s="66" t="n">
        <x:f>IFERROR(SUMIF('정시입결_2025'!$D$2:$D$122,A8,'정시입결_2025'!$X$2:$X$122)/D8,"")</x:f>
        <x:v>82.75</x:v>
      </x:c>
      <x:c r="F8" s="18" t="n">
        <x:f>COUNTIFS('정시입결_2025'!$D$2:$D$122,A8,'정시입결_2025'!$V$2:$V$122,"&gt;0")</x:f>
        <x:v>0</x:v>
      </x:c>
      <x:c r="G8" s="18" t="n">
        <x:f>D8-F8</x:f>
        <x:v>13</x:v>
      </x:c>
      <x:c r="H8" s="18" t="str">
        <x:v>https://www.adiga.kr/ucp/uvt/uni/univDetailSelection.do?menuId=PCUVTINF2000&amp;searchSyr=2026&amp;unvCd=0000169</x:v>
      </x:c>
    </x:row>
    <x:row r="9">
      <x:c r="A9" s="18" t="str">
        <x:v>전북대학교</x:v>
      </x:c>
      <x:c r="B9" s="18" t="str">
        <x:v>전북특별자치도</x:v>
      </x:c>
      <x:c r="C9" s="18" t="str">
        <x:v>국립</x:v>
      </x:c>
      <x:c r="D9" s="18" t="n">
        <x:f>COUNTIF('정시입결_2025'!$D$2:$D$122,A9)</x:f>
        <x:v>24</x:v>
      </x:c>
      <x:c r="E9" s="66" t="n">
        <x:f>IFERROR(SUMIF('정시입결_2025'!$D$2:$D$122,A9,'정시입결_2025'!$X$2:$X$122)/D9,"")</x:f>
        <x:v>73.0625</x:v>
      </x:c>
      <x:c r="F9" s="18" t="n">
        <x:f>COUNTIFS('정시입결_2025'!$D$2:$D$122,A9,'정시입결_2025'!$V$2:$V$122,"&gt;0")</x:f>
        <x:v>0</x:v>
      </x:c>
      <x:c r="G9" s="18" t="n">
        <x:f>D9-F9</x:f>
        <x:v>24</x:v>
      </x:c>
      <x:c r="H9" s="18" t="str">
        <x:v>https://www.adiga.kr/ucp/uvt/uni/univDetailSelection.do?menuId=PCUVTINF2000&amp;searchSyr=2026&amp;unvCd=0000025</x:v>
      </x:c>
    </x:row>
    <x:row r="10">
      <x:c r="A10" s="18" t="str">
        <x:v>제주대학교</x:v>
      </x:c>
      <x:c r="B10" s="18" t="str">
        <x:v>제주특별자치도</x:v>
      </x:c>
      <x:c r="C10" s="18" t="str">
        <x:v>국립</x:v>
      </x:c>
      <x:c r="D10" s="18" t="n">
        <x:f>COUNTIF('정시입결_2025'!$D$2:$D$122,A10)</x:f>
        <x:v>6</x:v>
      </x:c>
      <x:c r="E10" s="66" t="n">
        <x:f>IFERROR(SUMIF('정시입결_2025'!$D$2:$D$122,A10,'정시입결_2025'!$X$2:$X$122)/D10,"")</x:f>
        <x:v>57.25000000000001</x:v>
      </x:c>
      <x:c r="F10" s="18" t="n">
        <x:f>COUNTIFS('정시입결_2025'!$D$2:$D$122,A10,'정시입결_2025'!$V$2:$V$122,"&gt;0")</x:f>
        <x:v>0</x:v>
      </x:c>
      <x:c r="G10" s="18" t="n">
        <x:f>D10-F10</x:f>
        <x:v>6</x:v>
      </x:c>
      <x:c r="H10" s="18" t="str">
        <x:v>https://www.adiga.kr/ucp/uvt/uni/univDetailSelection.do?menuId=PCUVTINF2000&amp;searchSyr=2026&amp;unvCd=0000027</x:v>
      </x:c>
    </x:row>
    <x:row r="11">
      <x:c r="A11" s="18" t="str">
        <x:v>춘천교육대학교</x:v>
      </x:c>
      <x:c r="B11" s="18" t="str">
        <x:v>강원특별자치도</x:v>
      </x:c>
      <x:c r="C11" s="18" t="str">
        <x:v>국립</x:v>
      </x:c>
      <x:c r="D11" s="18" t="n">
        <x:f>COUNTIF('정시입결_2025'!$D$2:$D$122,A11)</x:f>
        <x:v>1</x:v>
      </x:c>
      <x:c r="E11" s="66" t="n">
        <x:f>IFERROR(SUMIF('정시입결_2025'!$D$2:$D$122,A11,'정시입결_2025'!$X$2:$X$122)/D11,"")</x:f>
        <x:v>71.5</x:v>
      </x:c>
      <x:c r="F11" s="18" t="n">
        <x:f>COUNTIFS('정시입결_2025'!$D$2:$D$122,A11,'정시입결_2025'!$V$2:$V$122,"&gt;0")</x:f>
        <x:v>0</x:v>
      </x:c>
      <x:c r="G11" s="18" t="n">
        <x:f>D11-F11</x:f>
        <x:v>1</x:v>
      </x:c>
      <x:c r="H11" s="18" t="str">
        <x:v>https://www.adiga.kr/ucp/uvt/uni/univDetailSelection.do?menuId=PCUVTINF2000&amp;searchSyr=2026&amp;unvCd=0000262</x:v>
      </x:c>
    </x:row>
    <x:row r="12">
      <x:c r="A12" s="18" t="str">
        <x:v>충남대학교</x:v>
      </x:c>
      <x:c r="B12" s="18" t="str">
        <x:v>대전광역시</x:v>
      </x:c>
      <x:c r="C12" s="18" t="str">
        <x:v>국립</x:v>
      </x:c>
      <x:c r="D12" s="18" t="n">
        <x:f>COUNTIF('정시입결_2025'!$D$2:$D$122,A12)</x:f>
        <x:v>6</x:v>
      </x:c>
      <x:c r="E12" s="66" t="n">
        <x:f>IFERROR(SUMIF('정시입결_2025'!$D$2:$D$122,A12,'정시입결_2025'!$X$2:$X$122)/D12,"")</x:f>
        <x:v>81.33333333333333</x:v>
      </x:c>
      <x:c r="F12" s="18" t="n">
        <x:f>COUNTIFS('정시입결_2025'!$D$2:$D$122,A12,'정시입결_2025'!$V$2:$V$122,"&gt;0")</x:f>
        <x:v>0</x:v>
      </x:c>
      <x:c r="G12" s="18" t="n">
        <x:f>D12-F12</x:f>
        <x:v>6</x:v>
      </x:c>
      <x:c r="H12" s="18" t="str">
        <x:v>https://www.adiga.kr/ucp/uvt/uni/univDetailSelection.do?menuId=PCUVTINF2000&amp;searchSyr=2026&amp;unvCd=0000029</x:v>
      </x:c>
    </x:row>
    <x:row r="13">
      <x:c r="A13" s="18" t="str">
        <x:v>한세대학교</x:v>
      </x:c>
      <x:c r="B13" s="18" t="str">
        <x:v>경기도</x:v>
      </x:c>
      <x:c r="C13" s="18" t="str">
        <x:v>사립</x:v>
      </x:c>
      <x:c r="D13" s="18" t="n">
        <x:f>COUNTIF('정시입결_2025'!$D$2:$D$122,A13)</x:f>
        <x:v>12</x:v>
      </x:c>
      <x:c r="E13" s="66" t="n">
        <x:f>IFERROR(SUMIF('정시입결_2025'!$D$2:$D$122,A13,'정시입결_2025'!$X$2:$X$122)/D13,"")</x:f>
        <x:v>77.72083333333335</x:v>
      </x:c>
      <x:c r="F13" s="18" t="n">
        <x:f>COUNTIFS('정시입결_2025'!$D$2:$D$122,A13,'정시입결_2025'!$V$2:$V$122,"&gt;0")</x:f>
        <x:v>12</x:v>
      </x:c>
      <x:c r="G13" s="18" t="n">
        <x:f>D13-F13</x:f>
        <x:v>0</x:v>
      </x:c>
      <x:c r="H13" s="18" t="str">
        <x:v>https://www.adiga.kr/ucp/uvt/uni/univDetailSelection.do?menuId=PCUVTINF2000&amp;searchSyr=2026&amp;unvCd=0000201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fd113e457ab4d81"/>
  <x:tableParts count="1">
    <x:tablePart xmlns:r="http://schemas.openxmlformats.org/officeDocument/2006/relationships" r:id="Rd63f247e36f84e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2" hidden="0" customWidth="1"/>
    <x:col min="4" max="4" width="16" hidden="0" customWidth="1"/>
    <x:col min="5" max="5" width="52" hidden="0" customWidth="1"/>
    <x:col min="6" max="6" width="28" hidden="0" customWidth="1"/>
    <x:col min="7" max="7" width="55" hidden="0" customWidth="1"/>
    <x:col min="8" max="8" width="55" hidden="0" customWidth="1"/>
  </x:cols>
  <x:sheetData>
    <x:row r="1">
      <x:c r="A1" s="68" t="str">
        <x:v>공식 출처 및 수록 현황</x:v>
      </x:c>
      <x:c r="B1" s="68"/>
      <x:c r="C1" s="68"/>
      <x:c r="D1" s="68"/>
      <x:c r="E1" s="68"/>
      <x:c r="F1" s="68"/>
      <x:c r="G1" s="68"/>
      <x:c r="H1" s="6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69" t="str">
        <x:v>메인 정규화 데이터에 실제 반영된 공식 출처</x:v>
      </x:c>
      <x:c r="B3" s="69"/>
      <x:c r="C3" s="69"/>
      <x:c r="D3" s="69"/>
      <x:c r="E3" s="69"/>
      <x:c r="F3" s="69"/>
      <x:c r="G3" s="69"/>
      <x:c r="H3" s="69"/>
    </x:row>
    <x:row r="4">
      <x:c r="A4" s="23" t="str">
        <x:v>대학명</x:v>
      </x:c>
      <x:c r="B4" s="23" t="str">
        <x:v>지역</x:v>
      </x:c>
      <x:c r="C4" s="23" t="str">
        <x:v>학년도</x:v>
      </x:c>
      <x:c r="D4" s="23" t="str">
        <x:v>수록 행 수</x:v>
      </x:c>
      <x:c r="E4" s="23" t="str">
        <x:v>상태</x:v>
      </x:c>
      <x:c r="F4" s="23" t="str">
        <x:v>공식 URL</x:v>
      </x:c>
      <x:c r="G4" s="18"/>
      <x:c r="H4" s="18"/>
    </x:row>
    <x:row r="5">
      <x:c r="A5" s="18" t="str">
        <x:v>광주교육대학교</x:v>
      </x:c>
      <x:c r="B5" s="18" t="str">
        <x:v>광주광역시</x:v>
      </x:c>
      <x:c r="C5" s="18" t="n">
        <x:v>2025</x:v>
      </x:c>
      <x:c r="D5" s="18" t="n">
        <x:v>1</x:v>
      </x:c>
      <x:c r="E5" s="18" t="str">
        <x:v>메인 데이터 반영 완료</x:v>
      </x:c>
      <x:c r="F5" s="18" t="str">
        <x:v>https://www.adiga.kr/ucp/uvt/uni/univDetailSelection.do?menuId=PCUVTINF2000&amp;searchSyr=2026&amp;unvCd=0000252</x:v>
      </x:c>
      <x:c r="G5" s="18"/>
      <x:c r="H5" s="18"/>
    </x:row>
    <x:row r="6">
      <x:c r="A6" s="18" t="str">
        <x:v>부산대학교</x:v>
      </x:c>
      <x:c r="B6" s="18" t="str">
        <x:v>부산광역시</x:v>
      </x:c>
      <x:c r="C6" s="18" t="n">
        <x:v>2025</x:v>
      </x:c>
      <x:c r="D6" s="18" t="n">
        <x:v>10</x:v>
      </x:c>
      <x:c r="E6" s="18" t="str">
        <x:v>메인 데이터 반영 완료</x:v>
      </x:c>
      <x:c r="F6" s="18" t="str">
        <x:v>https://www.adiga.kr/ucp/uvt/uni/univDetailSelection.do?menuId=PCUVTINF2000&amp;searchSyr=2026&amp;unvCd=0000014</x:v>
      </x:c>
      <x:c r="G6" s="18"/>
      <x:c r="H6" s="18"/>
    </x:row>
    <x:row r="7">
      <x:c r="A7" s="18" t="str">
        <x:v>서울과학기술대학교</x:v>
      </x:c>
      <x:c r="B7" s="18" t="str">
        <x:v>서울특별시</x:v>
      </x:c>
      <x:c r="C7" s="18" t="n">
        <x:v>2025</x:v>
      </x:c>
      <x:c r="D7" s="18" t="n">
        <x:v>41</x:v>
      </x:c>
      <x:c r="E7" s="18" t="str">
        <x:v>메인 데이터 반영 완료</x:v>
      </x:c>
      <x:c r="F7" s="18" t="str">
        <x:v>https://www.adiga.kr/ucp/uvt/uni/univDetailSelection.do?menuId=PCUVTINF2000&amp;searchSyr=2026&amp;unvCd=0000036</x:v>
      </x:c>
      <x:c r="G7" s="18"/>
      <x:c r="H7" s="18"/>
    </x:row>
    <x:row r="8">
      <x:c r="A8" s="18" t="str">
        <x:v>아주대학교</x:v>
      </x:c>
      <x:c r="B8" s="18" t="str">
        <x:v>경기도</x:v>
      </x:c>
      <x:c r="C8" s="18" t="n">
        <x:v>2025</x:v>
      </x:c>
      <x:c r="D8" s="18" t="n">
        <x:v>7</x:v>
      </x:c>
      <x:c r="E8" s="18" t="str">
        <x:v>메인 데이터 반영 완료</x:v>
      </x:c>
      <x:c r="F8" s="18" t="str">
        <x:v>https://www.adiga.kr/ucp/uvt/uni/univDetailSelection.do?menuId=PCUVTINF2000&amp;searchSyr=2026&amp;unvCd=0000146</x:v>
      </x:c>
      <x:c r="G8" s="18"/>
      <x:c r="H8" s="18"/>
    </x:row>
    <x:row r="9">
      <x:c r="A9" s="18" t="str">
        <x:v>인하대학교</x:v>
      </x:c>
      <x:c r="B9" s="18" t="str">
        <x:v>인천광역시</x:v>
      </x:c>
      <x:c r="C9" s="18" t="n">
        <x:v>2025</x:v>
      </x:c>
      <x:c r="D9" s="18" t="n">
        <x:v>13</x:v>
      </x:c>
      <x:c r="E9" s="18" t="str">
        <x:v>메인 데이터 반영 완료</x:v>
      </x:c>
      <x:c r="F9" s="18" t="str">
        <x:v>https://www.adiga.kr/ucp/uvt/uni/univDetailSelection.do?menuId=PCUVTINF2000&amp;searchSyr=2026&amp;unvCd=0000169</x:v>
      </x:c>
      <x:c r="G9" s="18"/>
      <x:c r="H9" s="18"/>
    </x:row>
    <x:row r="10">
      <x:c r="A10" s="18" t="str">
        <x:v>전북대학교</x:v>
      </x:c>
      <x:c r="B10" s="18" t="str">
        <x:v>전북특별자치도</x:v>
      </x:c>
      <x:c r="C10" s="18" t="n">
        <x:v>2025</x:v>
      </x:c>
      <x:c r="D10" s="18" t="n">
        <x:v>24</x:v>
      </x:c>
      <x:c r="E10" s="18" t="str">
        <x:v>메인 데이터 반영 완료</x:v>
      </x:c>
      <x:c r="F10" s="18" t="str">
        <x:v>https://www.adiga.kr/ucp/uvt/uni/univDetailSelection.do?menuId=PCUVTINF2000&amp;searchSyr=2026&amp;unvCd=0000025</x:v>
      </x:c>
      <x:c r="G10" s="18"/>
      <x:c r="H10" s="18"/>
    </x:row>
    <x:row r="11">
      <x:c r="A11" s="18" t="str">
        <x:v>제주대학교</x:v>
      </x:c>
      <x:c r="B11" s="18" t="str">
        <x:v>제주특별자치도</x:v>
      </x:c>
      <x:c r="C11" s="18" t="n">
        <x:v>2025</x:v>
      </x:c>
      <x:c r="D11" s="18" t="n">
        <x:v>6</x:v>
      </x:c>
      <x:c r="E11" s="18" t="str">
        <x:v>메인 데이터 반영 완료</x:v>
      </x:c>
      <x:c r="F11" s="18" t="str">
        <x:v>https://www.adiga.kr/ucp/uvt/uni/univDetailSelection.do?menuId=PCUVTINF2000&amp;searchSyr=2026&amp;unvCd=0000027</x:v>
      </x:c>
      <x:c r="G11" s="18"/>
      <x:c r="H11" s="18"/>
    </x:row>
    <x:row r="12">
      <x:c r="A12" s="18" t="str">
        <x:v>춘천교육대학교</x:v>
      </x:c>
      <x:c r="B12" s="18" t="str">
        <x:v>강원특별자치도</x:v>
      </x:c>
      <x:c r="C12" s="18" t="n">
        <x:v>2025</x:v>
      </x:c>
      <x:c r="D12" s="18" t="n">
        <x:v>1</x:v>
      </x:c>
      <x:c r="E12" s="18" t="str">
        <x:v>메인 데이터 반영 완료</x:v>
      </x:c>
      <x:c r="F12" s="18" t="str">
        <x:v>https://www.adiga.kr/ucp/uvt/uni/univDetailSelection.do?menuId=PCUVTINF2000&amp;searchSyr=2026&amp;unvCd=0000262</x:v>
      </x:c>
      <x:c r="G12" s="18"/>
      <x:c r="H12" s="18"/>
    </x:row>
    <x:row r="13">
      <x:c r="A13" s="18" t="str">
        <x:v>충남대학교</x:v>
      </x:c>
      <x:c r="B13" s="18" t="str">
        <x:v>대전광역시</x:v>
      </x:c>
      <x:c r="C13" s="18" t="n">
        <x:v>2025</x:v>
      </x:c>
      <x:c r="D13" s="18" t="n">
        <x:v>6</x:v>
      </x:c>
      <x:c r="E13" s="18" t="str">
        <x:v>메인 데이터 반영 완료</x:v>
      </x:c>
      <x:c r="F13" s="18" t="str">
        <x:v>https://www.adiga.kr/ucp/uvt/uni/univDetailSelection.do?menuId=PCUVTINF2000&amp;searchSyr=2026&amp;unvCd=0000029</x:v>
      </x:c>
      <x:c r="G13" s="18"/>
      <x:c r="H13" s="18"/>
    </x:row>
    <x:row r="14">
      <x:c r="A14" s="18" t="str">
        <x:v>한세대학교</x:v>
      </x:c>
      <x:c r="B14" s="18" t="str">
        <x:v>경기도</x:v>
      </x:c>
      <x:c r="C14" s="18" t="n">
        <x:v>2025</x:v>
      </x:c>
      <x:c r="D14" s="18" t="n">
        <x:v>12</x:v>
      </x:c>
      <x:c r="E14" s="18" t="str">
        <x:v>메인 데이터 반영 완료</x:v>
      </x:c>
      <x:c r="F14" s="18" t="str">
        <x:v>https://www.adiga.kr/ucp/uvt/uni/univDetailSelection.do?menuId=PCUVTINF2000&amp;searchSyr=2026&amp;unvCd=0000201</x:v>
      </x:c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69" t="str">
        <x:v>2026학년도 공식 원본 XLSX 공개 확인 — 메인 정규화 업데이트 후보</x:v>
      </x:c>
      <x:c r="B17" s="69"/>
      <x:c r="C17" s="69"/>
      <x:c r="D17" s="69"/>
      <x:c r="E17" s="69"/>
      <x:c r="F17" s="69"/>
      <x:c r="G17" s="69"/>
      <x:c r="H17" s="69"/>
    </x:row>
    <x:row r="18">
      <x:c r="A18" s="23" t="str">
        <x:v>대학명</x:v>
      </x:c>
      <x:c r="B18" s="23" t="str">
        <x:v>지역</x:v>
      </x:c>
      <x:c r="C18" s="23" t="str">
        <x:v>학년도</x:v>
      </x:c>
      <x:c r="D18" s="23" t="str">
        <x:v>공개일</x:v>
      </x:c>
      <x:c r="E18" s="23" t="str">
        <x:v>첨부파일명</x:v>
      </x:c>
      <x:c r="F18" s="23" t="str">
        <x:v>반영 상태</x:v>
      </x:c>
      <x:c r="G18" s="23" t="str">
        <x:v>공식 URL</x:v>
      </x:c>
      <x:c r="H18" s="18"/>
    </x:row>
    <x:row r="19">
      <x:c r="A19" s="18" t="str">
        <x:v>국립한밭대학교</x:v>
      </x:c>
      <x:c r="B19" s="18" t="str">
        <x:v>대전광역시</x:v>
      </x:c>
      <x:c r="C19" s="18" t="n">
        <x:v>2026</x:v>
      </x:c>
      <x:c r="D19" s="18" t="str">
        <x:v>2026-03-31</x:v>
      </x:c>
      <x:c r="E19" s="18" t="str">
        <x:v>(붙임) 2026학년도 수시모집 및 정시모집 전형별 입시결과(최종).xlsx</x:v>
      </x:c>
      <x:c r="F19" s="18" t="str">
        <x:v>공식 원본 확인 / 정규화 미반영</x:v>
      </x:c>
      <x:c r="G19" s="18" t="str">
        <x:v>https://hanbat.ac.kr/prog/bbsArticle/BBSMSTR_000000000119/view.do?mno=sub01_02&amp;nttId=B000000165276Ol2oP1r</x:v>
      </x:c>
      <x:c r="H19" s="18"/>
    </x:row>
    <x:row r="20">
      <x:c r="A20" s="18" t="str">
        <x:v>전주대학교</x:v>
      </x:c>
      <x:c r="B20" s="18" t="str">
        <x:v>전북특별자치도</x:v>
      </x:c>
      <x:c r="C20" s="18" t="n">
        <x:v>2026</x:v>
      </x:c>
      <x:c r="D20" s="18" t="str">
        <x:v>2026-04-04</x:v>
      </x:c>
      <x:c r="E20" s="18" t="str">
        <x:v>2026학년도 전주대학교 입시결과_게시용.xlsx</x:v>
      </x:c>
      <x:c r="F20" s="18" t="str">
        <x:v>공식 원본 확인 / 정규화 미반영</x:v>
      </x:c>
      <x:c r="G20" s="18" t="str">
        <x:v>https://iphak.jj.ac.kr/iphak/assistant/notice.do?articleNo=511861&amp;mode=view</x:v>
      </x:c>
      <x:c r="H20" s="18"/>
    </x:row>
    <x:row r="21">
      <x:c r="A21" s="18" t="str">
        <x:v>세명대학교</x:v>
      </x:c>
      <x:c r="B21" s="18" t="str">
        <x:v>충청북도</x:v>
      </x:c>
      <x:c r="C21" s="18" t="n">
        <x:v>2026</x:v>
      </x:c>
      <x:c r="D21" s="18" t="str">
        <x:v>2026-04-22</x:v>
      </x:c>
      <x:c r="E21" s="18" t="str">
        <x:v>(세명대학교) 2026학년도 수시 및 정시모집 입시결과_공지용.xlsx</x:v>
      </x:c>
      <x:c r="F21" s="18" t="str">
        <x:v>공식 원본 확인 / 정규화 미반영</x:v>
      </x:c>
      <x:c r="G21" s="18" t="str">
        <x:v>https://www.semyung.ac.kr/cop/bbs/BBSMSTR_000000000353/selectBoardArticle.do?bbsAttrbCode=&amp;bbsId=BBSMSTR_000000000353&amp;bbsTyCode=&amp;kind=&amp;mno=sitemap_12&amp;nttId=474065&amp;pageIndex=1&amp;searchCnd=&amp;searchWrd=</x:v>
      </x:c>
      <x:c r="H21" s="18"/>
    </x:row>
    <x:row r="22">
      <x:c r="A22" s="18"/>
      <x:c r="B22" s="18"/>
      <x:c r="C22" s="18"/>
      <x:c r="D22" s="18"/>
      <x:c r="E22" s="18"/>
      <x:c r="F22" s="18"/>
      <x:c r="G22" s="18"/>
      <x:c r="H22" s="18"/>
    </x:row>
    <x:row r="23">
      <x:c r="A23" s="18"/>
      <x:c r="B23" s="18"/>
      <x:c r="C23" s="18"/>
      <x:c r="D23" s="18"/>
      <x:c r="E23" s="18"/>
      <x:c r="F23" s="18"/>
      <x:c r="G23" s="18"/>
      <x:c r="H23" s="18"/>
    </x:row>
    <x:row r="24">
      <x:c r="A24" s="69" t="str">
        <x:v>전국 대학/학과 메타데이터 공식 출처</x:v>
      </x:c>
      <x:c r="B24" s="69"/>
      <x:c r="C24" s="69"/>
      <x:c r="D24" s="69"/>
      <x:c r="E24" s="69"/>
      <x:c r="F24" s="69"/>
      <x:c r="G24" s="69"/>
      <x:c r="H24" s="69"/>
    </x:row>
    <x:row r="25">
      <x:c r="A25" s="23" t="str">
        <x:v>자료명</x:v>
      </x:c>
      <x:c r="B25" s="23" t="str">
        <x:v>제공기관</x:v>
      </x:c>
      <x:c r="C25" s="23" t="str">
        <x:v>용도</x:v>
      </x:c>
      <x:c r="D25" s="23" t="str">
        <x:v>URL</x:v>
      </x:c>
      <x:c r="E25" s="18"/>
      <x:c r="F25" s="18"/>
      <x:c r="G25" s="18"/>
      <x:c r="H25" s="18"/>
    </x:row>
    <x:row r="26">
      <x:c r="A26" s="18" t="str">
        <x:v>전국대학및전문대학정보표준데이터</x:v>
      </x:c>
      <x:c r="B26" s="18" t="str">
        <x:v>한국대학교육협의회</x:v>
      </x:c>
      <x:c r="C26" s="18" t="str">
        <x:v>학교명·지역·설립형태 등 대학 메타데이터</x:v>
      </x:c>
      <x:c r="D26" s="18" t="str">
        <x:v>https://www.data.go.kr/data/15107736/standard.do</x:v>
      </x:c>
      <x:c r="E26" s="18"/>
      <x:c r="F26" s="18"/>
      <x:c r="G26" s="18"/>
      <x:c r="H26" s="18"/>
    </x:row>
    <x:row r="27">
      <x:c r="A27" s="18" t="str">
        <x:v>전국대학별학과정보표준데이터</x:v>
      </x:c>
      <x:c r="B27" s="18" t="str">
        <x:v>한국대학교육협의회</x:v>
      </x:c>
      <x:c r="C27" s="18" t="str">
        <x:v>학과명·계열·입학정원 등 학과 메타데이터</x:v>
      </x:c>
      <x:c r="D27" s="18" t="str">
        <x:v>https://www.data.go.kr/data/15107737/standard.do</x:v>
      </x:c>
      <x:c r="E27" s="18"/>
      <x:c r="F27" s="18"/>
      <x:c r="G27" s="18"/>
      <x:c r="H27" s="18"/>
    </x:row>
  </x:sheetData>
  <x:mergeCells>
    <x:mergeCell ref="A1:H1"/>
    <x:mergeCell ref="A3:H3"/>
    <x:mergeCell ref="A17:H17"/>
    <x:mergeCell ref="A24:H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65" hidden="0" customWidth="1"/>
    <x:col min="4" max="4" width="34" hidden="0" customWidth="1"/>
  </x:cols>
  <x:sheetData>
    <x:row r="1">
      <x:c r="A1" s="5" t="str">
        <x:v>데이터사전</x:v>
      </x:c>
      <x:c r="B1" s="5"/>
      <x:c r="C1" s="5"/>
      <x:c r="D1" s="5"/>
    </x:row>
    <x:row r="3">
      <x:c r="A3" s="23" t="str">
        <x:v>컬럼명</x:v>
      </x:c>
      <x:c r="B3" s="23" t="str">
        <x:v>구분</x:v>
      </x:c>
      <x:c r="C3" s="23" t="str">
        <x:v>설명</x:v>
      </x:c>
      <x:c r="D3" s="23" t="str">
        <x:v>추천 프로젝트 사용</x:v>
      </x:c>
    </x:row>
    <x:row r="4">
      <x:c r="A4" s="18" t="str">
        <x:v>학년도</x:v>
      </x:c>
      <x:c r="B4" s="18" t="str">
        <x:v>원본</x:v>
      </x:c>
      <x:c r="C4" s="18" t="str">
        <x:v>전형 결과 학년도. 현재 메인 데이터는 2025학년도</x:v>
      </x:c>
      <x:c r="D4" s="18" t="str">
        <x:v>필터 필수</x:v>
      </x:c>
    </x:row>
    <x:row r="5">
      <x:c r="A5" s="18" t="str">
        <x:v>지역</x:v>
      </x:c>
      <x:c r="B5" s="18" t="str">
        <x:v>메타</x:v>
      </x:c>
      <x:c r="C5" s="18" t="str">
        <x:v>대학 소재 시·도</x:v>
      </x:c>
      <x:c r="D5" s="18" t="str">
        <x:v>지역 추천 필터</x:v>
      </x:c>
    </x:row>
    <x:row r="6">
      <x:c r="A6" s="18" t="str">
        <x:v>설립</x:v>
      </x:c>
      <x:c r="B6" s="18" t="str">
        <x:v>메타</x:v>
      </x:c>
      <x:c r="C6" s="18" t="str">
        <x:v>국립/사립 구분</x:v>
      </x:c>
      <x:c r="D6" s="18" t="str">
        <x:v>선택 필터</x:v>
      </x:c>
    </x:row>
    <x:row r="7">
      <x:c r="A7" s="18" t="str">
        <x:v>대학명</x:v>
      </x:c>
      <x:c r="B7" s="18" t="str">
        <x:v>원본</x:v>
      </x:c>
      <x:c r="C7" s="18" t="str">
        <x:v>대학 이름</x:v>
      </x:c>
      <x:c r="D7" s="18" t="str">
        <x:v>식별자</x:v>
      </x:c>
    </x:row>
    <x:row r="8">
      <x:c r="A8" s="18" t="str">
        <x:v>모집군</x:v>
      </x:c>
      <x:c r="B8" s="18" t="str">
        <x:v>원본</x:v>
      </x:c>
      <x:c r="C8" s="18" t="str">
        <x:v>가/나/다군</x:v>
      </x:c>
      <x:c r="D8" s="18" t="str">
        <x:v>정시 군 조합 필터</x:v>
      </x:c>
    </x:row>
    <x:row r="9">
      <x:c r="A9" s="18" t="str">
        <x:v>전형명</x:v>
      </x:c>
      <x:c r="B9" s="18" t="str">
        <x:v>원본</x:v>
      </x:c>
      <x:c r="C9" s="18" t="str">
        <x:v>일반전형 등 전형명</x:v>
      </x:c>
      <x:c r="D9" s="18" t="str">
        <x:v>동일 조건끼리 비교</x:v>
      </x:c>
    </x:row>
    <x:row r="10">
      <x:c r="A10" s="18" t="str">
        <x:v>모집단위</x:v>
      </x:c>
      <x:c r="B10" s="18" t="str">
        <x:v>원본</x:v>
      </x:c>
      <x:c r="C10" s="18" t="str">
        <x:v>학과/학부/계열명</x:v>
      </x:c>
      <x:c r="D10" s="18" t="str">
        <x:v>추천 결과 표시</x:v>
      </x:c>
    </x:row>
    <x:row r="11">
      <x:c r="A11" s="18" t="str">
        <x:v>최초모집</x:v>
      </x:c>
      <x:c r="B11" s="18" t="str">
        <x:v>원본</x:v>
      </x:c>
      <x:c r="C11" s="18" t="str">
        <x:v>최초 계획 모집인원</x:v>
      </x:c>
      <x:c r="D11" s="18" t="str">
        <x:v>참고</x:v>
      </x:c>
    </x:row>
    <x:row r="12">
      <x:c r="A12" s="18" t="str">
        <x:v>이월</x:v>
      </x:c>
      <x:c r="B12" s="18" t="str">
        <x:v>원본</x:v>
      </x:c>
      <x:c r="C12" s="18" t="str">
        <x:v>수시 미충원 등 정시 이월인원</x:v>
      </x:c>
      <x:c r="D12" s="18" t="str">
        <x:v>참고</x:v>
      </x:c>
    </x:row>
    <x:row r="13">
      <x:c r="A13" s="18" t="str">
        <x:v>최종모집</x:v>
      </x:c>
      <x:c r="B13" s="18" t="str">
        <x:v>원본</x:v>
      </x:c>
      <x:c r="C13" s="18" t="str">
        <x:v>최종 정시 모집인원</x:v>
      </x:c>
      <x:c r="D13" s="18" t="str">
        <x:v>경쟁강도 보조</x:v>
      </x:c>
    </x:row>
    <x:row r="14">
      <x:c r="A14" s="18" t="str">
        <x:v>경쟁률</x:v>
      </x:c>
      <x:c r="B14" s="18" t="str">
        <x:v>원본</x:v>
      </x:c>
      <x:c r="C14" s="18" t="str">
        <x:v>지원자/모집인원 경쟁률</x:v>
      </x:c>
      <x:c r="D14" s="18" t="str">
        <x:v>보조지표</x:v>
      </x:c>
    </x:row>
    <x:row r="15">
      <x:c r="A15" s="18" t="str">
        <x:v>충원합격순위</x:v>
      </x:c>
      <x:c r="B15" s="18" t="str">
        <x:v>원본</x:v>
      </x:c>
      <x:c r="C15" s="18" t="str">
        <x:v>마지막 충원합격 순위 또는 대학 공개값</x:v>
      </x:c>
      <x:c r="D15" s="18" t="str">
        <x:v>보조지표</x:v>
      </x:c>
    </x:row>
    <x:row r="16">
      <x:c r="A16" s="18" t="str">
        <x:v>환산50</x:v>
      </x:c>
      <x:c r="B16" s="18" t="str">
        <x:v>원본</x:v>
      </x:c>
      <x:c r="C16" s="18" t="str">
        <x:v>대학별 환산점수 50% cut</x:v>
      </x:c>
      <x:c r="D16" s="18" t="str">
        <x:v>대학 내부 비교용</x:v>
      </x:c>
    </x:row>
    <x:row r="17">
      <x:c r="A17" s="18" t="str">
        <x:v>환산70</x:v>
      </x:c>
      <x:c r="B17" s="18" t="str">
        <x:v>원본</x:v>
      </x:c>
      <x:c r="C17" s="18" t="str">
        <x:v>대학별 환산점수 70% cut</x:v>
      </x:c>
      <x:c r="D17" s="18" t="str">
        <x:v>대학 내부 비교용</x:v>
      </x:c>
    </x:row>
    <x:row r="18">
      <x:c r="A18" s="18" t="str">
        <x:v>수능총점</x:v>
      </x:c>
      <x:c r="B18" s="18" t="str">
        <x:v>원본</x:v>
      </x:c>
      <x:c r="C18" s="18" t="str">
        <x:v>해당 대학/모집단위의 환산총점 만점</x:v>
      </x:c>
      <x:c r="D18" s="18" t="str">
        <x:v>환산점수 해석용</x:v>
      </x:c>
    </x:row>
    <x:row r="19">
      <x:c r="A19" s="18" t="str">
        <x:v>국어70</x:v>
      </x:c>
      <x:c r="B19" s="18" t="str">
        <x:v>원본</x:v>
      </x:c>
      <x:c r="C19" s="18" t="str">
        <x:v>최종등록자 70% 지점 국어 백분위</x:v>
      </x:c>
      <x:c r="D19" s="18" t="str">
        <x:v>공통 추천 계산</x:v>
      </x:c>
    </x:row>
    <x:row r="20">
      <x:c r="A20" s="18" t="str">
        <x:v>수학70</x:v>
      </x:c>
      <x:c r="B20" s="18" t="str">
        <x:v>원본</x:v>
      </x:c>
      <x:c r="C20" s="18" t="str">
        <x:v>최종등록자 70% 지점 수학 백분위</x:v>
      </x:c>
      <x:c r="D20" s="18" t="str">
        <x:v>공통 추천 계산</x:v>
      </x:c>
    </x:row>
    <x:row r="21">
      <x:c r="A21" s="18" t="str">
        <x:v>탐구1_70</x:v>
      </x:c>
      <x:c r="B21" s="18" t="str">
        <x:v>원본</x:v>
      </x:c>
      <x:c r="C21" s="18" t="str">
        <x:v>최종등록자 70% 지점 탐구1 백분위</x:v>
      </x:c>
      <x:c r="D21" s="18" t="str">
        <x:v>공통 추천 계산</x:v>
      </x:c>
    </x:row>
    <x:row r="22">
      <x:c r="A22" s="18" t="str">
        <x:v>탐구2_70</x:v>
      </x:c>
      <x:c r="B22" s="18" t="str">
        <x:v>원본</x:v>
      </x:c>
      <x:c r="C22" s="18" t="str">
        <x:v>최종등록자 70% 지점 탐구2 백분위</x:v>
      </x:c>
      <x:c r="D22" s="18" t="str">
        <x:v>공통 추천 계산</x:v>
      </x:c>
    </x:row>
    <x:row r="23">
      <x:c r="A23" s="18" t="str">
        <x:v>영어70_등급</x:v>
      </x:c>
      <x:c r="B23" s="18" t="str">
        <x:v>원본</x:v>
      </x:c>
      <x:c r="C23" s="18" t="str">
        <x:v>70% 지점 영어 등급 또는 공개된 해당 값</x:v>
      </x:c>
      <x:c r="D23" s="18" t="str">
        <x:v>후속 보정 필요</x:v>
      </x:c>
    </x:row>
    <x:row r="24">
      <x:c r="A24" s="18" t="str">
        <x:v>한국사70_등급</x:v>
      </x:c>
      <x:c r="B24" s="18" t="str">
        <x:v>원본</x:v>
      </x:c>
      <x:c r="C24" s="18" t="str">
        <x:v>70% 지점 한국사 등급 또는 공개된 해당 값</x:v>
      </x:c>
      <x:c r="D24" s="18" t="str">
        <x:v>후속 보정 필요</x:v>
      </x:c>
    </x:row>
    <x:row r="25">
      <x:c r="A25" s="18" t="str">
        <x:v>공식70평균백분위</x:v>
      </x:c>
      <x:c r="B25" s="18" t="str">
        <x:v>원본</x:v>
      </x:c>
      <x:c r="C25" s="18" t="str">
        <x:v>대학/어디가가 직접 제공한 70% cut 평균백분위</x:v>
      </x:c>
      <x:c r="D25" s="18" t="str">
        <x:v>가장 우선하는 공통지표</x:v>
      </x:c>
    </x:row>
    <x:row r="26">
      <x:c r="A26" s="18" t="str">
        <x:v>파생_국수탐70단순평균</x:v>
      </x:c>
      <x:c r="B26" s="18" t="str">
        <x:v>수식</x:v>
      </x:c>
      <x:c r="C26" s="18" t="str">
        <x:v>국어·수학·탐구1·탐구2 중 3개 이상 있을 때 단순평균</x:v>
      </x:c>
      <x:c r="D26" s="18" t="str">
        <x:v>공식 평균이 없을 때 참고</x:v>
      </x:c>
    </x:row>
    <x:row r="27">
      <x:c r="A27" s="18" t="str">
        <x:v>추천기준_백분위</x:v>
      </x:c>
      <x:c r="B27" s="18" t="str">
        <x:v>수식</x:v>
      </x:c>
      <x:c r="C27" s="18" t="str">
        <x:v>공식 평균백분위가 있으면 사용, 없으면 파생 단순평균</x:v>
      </x:c>
      <x:c r="D27" s="18" t="str">
        <x:v>프로토타입 핵심 비교값</x:v>
      </x:c>
    </x:row>
    <x:row r="28">
      <x:c r="A28" s="18" t="str">
        <x:v>추천지표유형</x:v>
      </x:c>
      <x:c r="B28" s="18" t="str">
        <x:v>수식</x:v>
      </x:c>
      <x:c r="C28" s="18" t="str">
        <x:v>공식/파생/비교불가 구분</x:v>
      </x:c>
      <x:c r="D28" s="18" t="str">
        <x:v>신뢰도 표시</x:v>
      </x:c>
    </x:row>
    <x:row r="29">
      <x:c r="A29" s="18" t="str">
        <x:v>학생평균백분위</x:v>
      </x:c>
      <x:c r="B29" s="18" t="str">
        <x:v>수식</x:v>
      </x:c>
      <x:c r="C29" s="18" t="str">
        <x:v>추천_테스트 시트의 학생 국수탐 단순평균</x:v>
      </x:c>
      <x:c r="D29" s="18" t="str">
        <x:v>테스트 입력 연동</x:v>
      </x:c>
    </x:row>
    <x:row r="30">
      <x:c r="A30" s="18" t="str">
        <x:v>점수차</x:v>
      </x:c>
      <x:c r="B30" s="18" t="str">
        <x:v>수식</x:v>
      </x:c>
      <x:c r="C30" s="18" t="str">
        <x:v>학생평균백분위 - 추천기준_백분위</x:v>
      </x:c>
      <x:c r="D30" s="18" t="str">
        <x:v>분류 입력</x:v>
      </x:c>
    </x:row>
    <x:row r="31">
      <x:c r="A31" s="18" t="str">
        <x:v>추천구간</x:v>
      </x:c>
      <x:c r="B31" s="18" t="str">
        <x:v>수식</x:v>
      </x:c>
      <x:c r="C31" s="18" t="str">
        <x:v>사용자 정의 마진에 따른 안정/적정/소신/상향</x:v>
      </x:c>
      <x:c r="D31" s="18" t="str">
        <x:v>프로토타입 결과</x:v>
      </x:c>
    </x:row>
    <x:row r="32">
      <x:c r="A32" s="18" t="str">
        <x:v>확통비율</x:v>
      </x:c>
      <x:c r="B32" s="18" t="str">
        <x:v>원본</x:v>
      </x:c>
      <x:c r="C32" s="18" t="str">
        <x:v>공개된 수학 선택과목 구성 중 확률과통계 비율(일부 대학)</x:v>
      </x:c>
      <x:c r="D32" s="18" t="str">
        <x:v>선택과목 보정 참고</x:v>
      </x:c>
    </x:row>
    <x:row r="33">
      <x:c r="A33" s="18" t="str">
        <x:v>미적분비율</x:v>
      </x:c>
      <x:c r="B33" s="18" t="str">
        <x:v>원본</x:v>
      </x:c>
      <x:c r="C33" s="18" t="str">
        <x:v>공개된 미적분 비율(일부 대학)</x:v>
      </x:c>
      <x:c r="D33" s="18" t="str">
        <x:v>선택과목 보정 참고</x:v>
      </x:c>
    </x:row>
    <x:row r="34">
      <x:c r="A34" s="18" t="str">
        <x:v>기하비율</x:v>
      </x:c>
      <x:c r="B34" s="18" t="str">
        <x:v>원본</x:v>
      </x:c>
      <x:c r="C34" s="18" t="str">
        <x:v>공개된 기하 비율(일부 대학)</x:v>
      </x:c>
      <x:c r="D34" s="18" t="str">
        <x:v>선택과목 보정 참고</x:v>
      </x:c>
    </x:row>
    <x:row r="35">
      <x:c r="A35" s="18" t="str">
        <x:v>비고</x:v>
      </x:c>
      <x:c r="B35" s="18" t="str">
        <x:v>품질</x:v>
      </x:c>
      <x:c r="C35" s="18" t="str">
        <x:v>공식 평균 제공 여부 또는 파생 필요 여부</x:v>
      </x:c>
      <x:c r="D35" s="18" t="str">
        <x:v>모델 신뢰도 판단</x:v>
      </x:c>
    </x:row>
    <x:row r="36">
      <x:c r="A36" s="18" t="str">
        <x:v>출처URL</x:v>
      </x:c>
      <x:c r="B36" s="18" t="str">
        <x:v>출처</x:v>
      </x:c>
      <x:c r="C36" s="18" t="str">
        <x:v>해당 행의 공식 원본 페이지 URL</x:v>
      </x:c>
      <x:c r="D36" s="18" t="str">
        <x:v>필수 출처 추적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94e243c203f4f6f"/>
  </x:tableParts>
</x:worksheet>
</file>